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.sharepoint.com/sites/RestonMicroLab/Shared Documents/RBPGL/SI GW Concentration Bemidji/Data Release/Files Post Peer Review/"/>
    </mc:Choice>
  </mc:AlternateContent>
  <xr:revisionPtr revIDLastSave="195" documentId="8_{48031745-AA47-4326-A359-6574EB426164}" xr6:coauthVersionLast="46" xr6:coauthVersionMax="46" xr10:uidLastSave="{3A28FF2A-6944-4711-AEF9-57D6B8B3B57F}"/>
  <bookViews>
    <workbookView xWindow="28680" yWindow="-120" windowWidth="24240" windowHeight="13140" xr2:uid="{4FD634FC-A3F0-4055-97C6-B708A552F6B3}"/>
  </bookViews>
  <sheets>
    <sheet name="T3-Bz-Naph-D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5" i="1" l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</calcChain>
</file>

<file path=xl/sharedStrings.xml><?xml version="1.0" encoding="utf-8"?>
<sst xmlns="http://schemas.openxmlformats.org/spreadsheetml/2006/main" count="242" uniqueCount="42">
  <si>
    <t>534A</t>
  </si>
  <si>
    <t>533D</t>
  </si>
  <si>
    <t>530C</t>
  </si>
  <si>
    <t>530B</t>
  </si>
  <si>
    <t>421B</t>
  </si>
  <si>
    <t>301A</t>
  </si>
  <si>
    <t>533E</t>
  </si>
  <si>
    <t>532B</t>
  </si>
  <si>
    <t>518B</t>
  </si>
  <si>
    <t>518A</t>
  </si>
  <si>
    <t>531C</t>
  </si>
  <si>
    <t>531A</t>
  </si>
  <si>
    <t>530A</t>
  </si>
  <si>
    <t>9315C</t>
  </si>
  <si>
    <t>9315D</t>
  </si>
  <si>
    <t>1101A</t>
  </si>
  <si>
    <t>1101C</t>
  </si>
  <si>
    <t>--</t>
  </si>
  <si>
    <t>604A</t>
  </si>
  <si>
    <t>PO</t>
  </si>
  <si>
    <t>OW</t>
  </si>
  <si>
    <t>NO</t>
  </si>
  <si>
    <t>NA</t>
  </si>
  <si>
    <t>420B</t>
  </si>
  <si>
    <t>420D</t>
  </si>
  <si>
    <t>530D</t>
  </si>
  <si>
    <t>Table 3. Benzene/Naphthalene Ratio in Oil (2010) and Water (2010-2015, averaged)</t>
  </si>
  <si>
    <t>533B</t>
  </si>
  <si>
    <t>532E</t>
  </si>
  <si>
    <t>Well_Number</t>
  </si>
  <si>
    <t>Dist_Well_421</t>
  </si>
  <si>
    <t>Sample_Type</t>
  </si>
  <si>
    <t>Bz_Water</t>
  </si>
  <si>
    <t>Naph_Water</t>
  </si>
  <si>
    <t>Bz_to_Naph_Water</t>
  </si>
  <si>
    <t>Bz_Oil</t>
  </si>
  <si>
    <t>Naph_Oil</t>
  </si>
  <si>
    <t>Bz_to_Naph_Oil</t>
  </si>
  <si>
    <t>Year_Sampled</t>
  </si>
  <si>
    <t>20102015AVG</t>
  </si>
  <si>
    <t>BEM-PIPELINEOIL-1984</t>
  </si>
  <si>
    <t>Unique_ID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</si>
</sst>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Font="1"/>
    <xf numFmtId="0" fontId="1" fillId="0" borderId="0" xfId="0" applyFont="1"/>
    <xf numFmtId="1" fontId="1" fillId="0" borderId="0" xfId="0" applyNumberFormat="1" applyFont="1"/>
    <xf numFmtId="0" fontId="1" fillId="0" borderId="0" xfId="0" applyFont="1" applyAlignment="1">
      <alignment wrapText="1"/>
    </xf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1" fontId="0" fillId="0" borderId="0" xfId="0" applyNumberFormat="1" applyFont="1"/>
    <xf numFmtId="0" fontId="2" fillId="0" borderId="0" xfId="0" applyFont="1"/>
    <xf numFmtId="0" fontId="3" fillId="0" borderId="2" xfId="0" applyFont="1" applyBorder="1" applyAlignment="1">
      <alignment horizontal="right"/>
    </xf>
    <xf numFmtId="0" fontId="0" fillId="0" borderId="2" xfId="0" applyFont="1" applyBorder="1" applyAlignment="1">
      <alignment horizontal="right"/>
    </xf>
    <xf numFmtId="0" fontId="0" fillId="0" borderId="0" xfId="0" applyFont="1" applyAlignment="1">
      <alignment horizontal="right"/>
    </xf>
    <xf numFmtId="0" fontId="0" fillId="0" borderId="1" xfId="0" applyFont="1" applyBorder="1" applyAlignment="1">
      <alignment horizontal="right"/>
    </xf>
    <xf numFmtId="0" fontId="0" fillId="0" borderId="2" xfId="0" quotePrefix="1" applyFont="1" applyBorder="1" applyAlignment="1">
      <alignment horizontal="center"/>
    </xf>
    <xf numFmtId="1" fontId="3" fillId="0" borderId="2" xfId="0" quotePrefix="1" applyNumberFormat="1" applyFont="1" applyBorder="1" applyAlignment="1">
      <alignment horizontal="right"/>
    </xf>
    <xf numFmtId="0" fontId="3" fillId="0" borderId="2" xfId="0" quotePrefix="1" applyFont="1" applyBorder="1" applyAlignment="1">
      <alignment horizontal="right"/>
    </xf>
    <xf numFmtId="1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quotePrefix="1" applyFont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 applyFill="1" applyAlignment="1">
      <alignment horizontal="center"/>
    </xf>
    <xf numFmtId="164" fontId="3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wrapText="1"/>
    </xf>
    <xf numFmtId="1" fontId="3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4" fillId="0" borderId="0" xfId="0" applyFont="1"/>
    <xf numFmtId="0" fontId="4" fillId="0" borderId="0" xfId="0" applyFont="1" applyBorder="1"/>
    <xf numFmtId="0" fontId="3" fillId="0" borderId="2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quotePrefix="1" applyNumberFormat="1" applyFont="1" applyAlignment="1">
      <alignment horizontal="right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right"/>
    </xf>
    <xf numFmtId="165" fontId="3" fillId="0" borderId="0" xfId="0" applyNumberFormat="1" applyFont="1" applyAlignment="1">
      <alignment horizontal="right"/>
    </xf>
    <xf numFmtId="165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9F00-3994-4AF7-BB17-4631FE1ECF0F}">
  <dimension ref="A1:R55"/>
  <sheetViews>
    <sheetView tabSelected="1" zoomScale="120" zoomScaleNormal="120" workbookViewId="0">
      <selection activeCell="K50" sqref="K50"/>
    </sheetView>
  </sheetViews>
  <sheetFormatPr defaultColWidth="8.85546875" defaultRowHeight="15" x14ac:dyDescent="0.25"/>
  <cols>
    <col min="1" max="1" width="25" style="1" customWidth="1"/>
    <col min="2" max="2" width="14.28515625" style="1" customWidth="1"/>
    <col min="3" max="3" width="14.140625" style="1" customWidth="1"/>
    <col min="4" max="4" width="13.85546875" style="1" bestFit="1" customWidth="1"/>
    <col min="5" max="5" width="14.28515625" style="1" customWidth="1"/>
    <col min="6" max="6" width="10" style="8" customWidth="1"/>
    <col min="7" max="7" width="12.7109375" style="1" customWidth="1"/>
    <col min="8" max="8" width="11.85546875" style="1" customWidth="1"/>
    <col min="9" max="9" width="6.5703125" style="1" bestFit="1" customWidth="1"/>
    <col min="10" max="10" width="9.28515625" style="1" bestFit="1" customWidth="1"/>
    <col min="11" max="11" width="12.7109375" style="1" customWidth="1"/>
    <col min="14" max="14" width="9.140625" customWidth="1"/>
    <col min="19" max="16384" width="8.85546875" style="1"/>
  </cols>
  <sheetData>
    <row r="1" spans="1:18" s="2" customFormat="1" x14ac:dyDescent="0.25">
      <c r="A1" s="9" t="s">
        <v>26</v>
      </c>
      <c r="F1" s="3"/>
      <c r="L1"/>
      <c r="M1"/>
      <c r="N1"/>
      <c r="O1"/>
      <c r="P1"/>
      <c r="Q1"/>
      <c r="R1"/>
    </row>
    <row r="2" spans="1:18" s="2" customFormat="1" x14ac:dyDescent="0.25">
      <c r="B2" s="9"/>
      <c r="F2" s="3"/>
      <c r="L2"/>
      <c r="M2"/>
      <c r="N2"/>
      <c r="O2"/>
      <c r="P2"/>
      <c r="Q2"/>
      <c r="R2"/>
    </row>
    <row r="3" spans="1:18" s="4" customFormat="1" ht="30" x14ac:dyDescent="0.25">
      <c r="A3" s="25" t="s">
        <v>41</v>
      </c>
      <c r="B3" s="25" t="s">
        <v>29</v>
      </c>
      <c r="C3" s="25" t="s">
        <v>30</v>
      </c>
      <c r="D3" s="25" t="s">
        <v>38</v>
      </c>
      <c r="E3" s="25" t="s">
        <v>31</v>
      </c>
      <c r="F3" s="25" t="s">
        <v>32</v>
      </c>
      <c r="G3" s="25" t="s">
        <v>33</v>
      </c>
      <c r="H3" s="25" t="s">
        <v>34</v>
      </c>
      <c r="I3" s="25" t="s">
        <v>35</v>
      </c>
      <c r="J3" s="25" t="s">
        <v>36</v>
      </c>
      <c r="K3" s="25" t="s">
        <v>37</v>
      </c>
      <c r="L3"/>
      <c r="M3"/>
      <c r="N3"/>
      <c r="O3"/>
      <c r="P3"/>
      <c r="Q3"/>
      <c r="R3"/>
    </row>
    <row r="4" spans="1:18" x14ac:dyDescent="0.25">
      <c r="A4" s="30" t="s">
        <v>40</v>
      </c>
      <c r="B4" s="14" t="s">
        <v>22</v>
      </c>
      <c r="C4" s="10" t="s">
        <v>22</v>
      </c>
      <c r="D4" s="16">
        <v>1984</v>
      </c>
      <c r="E4" s="11" t="s">
        <v>19</v>
      </c>
      <c r="F4" s="15" t="s">
        <v>17</v>
      </c>
      <c r="G4" s="16" t="s">
        <v>17</v>
      </c>
      <c r="H4" s="10">
        <v>4.4000000000000004</v>
      </c>
      <c r="I4" s="16" t="s">
        <v>17</v>
      </c>
      <c r="J4" s="16" t="s">
        <v>17</v>
      </c>
      <c r="K4" s="16" t="s">
        <v>17</v>
      </c>
    </row>
    <row r="5" spans="1:18" x14ac:dyDescent="0.25">
      <c r="A5" s="31" t="str">
        <f>_xlfn.TEXTJOIN("-",,"BEM",B5,D5)</f>
        <v>BEM-604A-20102015AVG</v>
      </c>
      <c r="B5" s="32" t="s">
        <v>18</v>
      </c>
      <c r="C5" s="31">
        <v>-34.89</v>
      </c>
      <c r="D5" s="31" t="s">
        <v>39</v>
      </c>
      <c r="E5" s="18" t="s">
        <v>20</v>
      </c>
      <c r="F5" s="17">
        <v>1154</v>
      </c>
      <c r="G5" s="17">
        <v>97</v>
      </c>
      <c r="H5" s="17">
        <v>12</v>
      </c>
      <c r="I5" s="19" t="s">
        <v>17</v>
      </c>
      <c r="J5" s="19" t="s">
        <v>17</v>
      </c>
      <c r="K5" s="19" t="s">
        <v>17</v>
      </c>
    </row>
    <row r="6" spans="1:18" x14ac:dyDescent="0.25">
      <c r="A6" s="31" t="str">
        <f t="shared" ref="A6:A45" si="0">_xlfn.TEXTJOIN("-",,"BEM",B6,D6)</f>
        <v>BEM-411-20102015AVG</v>
      </c>
      <c r="B6" s="32">
        <v>411</v>
      </c>
      <c r="C6" s="31">
        <v>-5.58</v>
      </c>
      <c r="D6" s="31" t="s">
        <v>39</v>
      </c>
      <c r="E6" s="18" t="s">
        <v>20</v>
      </c>
      <c r="F6" s="17">
        <v>1042.5</v>
      </c>
      <c r="G6" s="18">
        <v>121</v>
      </c>
      <c r="H6" s="18">
        <v>8.6</v>
      </c>
      <c r="I6" s="19" t="s">
        <v>17</v>
      </c>
      <c r="J6" s="19" t="s">
        <v>17</v>
      </c>
      <c r="K6" s="19" t="s">
        <v>17</v>
      </c>
    </row>
    <row r="7" spans="1:18" s="28" customFormat="1" x14ac:dyDescent="0.25">
      <c r="A7" s="31" t="str">
        <f t="shared" si="0"/>
        <v>BEM-411-2010</v>
      </c>
      <c r="B7" s="32">
        <v>411</v>
      </c>
      <c r="C7" s="31">
        <v>-5.58</v>
      </c>
      <c r="D7" s="31">
        <v>2010</v>
      </c>
      <c r="E7" s="18" t="s">
        <v>20</v>
      </c>
      <c r="F7" s="33" t="s">
        <v>17</v>
      </c>
      <c r="G7" s="19" t="s">
        <v>17</v>
      </c>
      <c r="H7" s="19" t="s">
        <v>17</v>
      </c>
      <c r="I7" s="39">
        <v>0.14000000000000001</v>
      </c>
      <c r="J7" s="39">
        <v>0.6</v>
      </c>
      <c r="K7" s="39">
        <v>0.23</v>
      </c>
      <c r="L7"/>
      <c r="M7"/>
      <c r="N7"/>
      <c r="O7"/>
      <c r="P7"/>
      <c r="Q7"/>
      <c r="R7"/>
    </row>
    <row r="8" spans="1:18" x14ac:dyDescent="0.25">
      <c r="A8" s="31" t="str">
        <f t="shared" si="0"/>
        <v>BEM-315-20102015AVG</v>
      </c>
      <c r="B8" s="32">
        <v>315</v>
      </c>
      <c r="C8" s="31">
        <v>-4.0199999999999996</v>
      </c>
      <c r="D8" s="31" t="s">
        <v>39</v>
      </c>
      <c r="E8" s="18" t="s">
        <v>20</v>
      </c>
      <c r="F8" s="17">
        <v>2169</v>
      </c>
      <c r="G8" s="18">
        <v>100</v>
      </c>
      <c r="H8" s="17">
        <v>22</v>
      </c>
      <c r="I8" s="19" t="s">
        <v>17</v>
      </c>
      <c r="J8" s="19" t="s">
        <v>17</v>
      </c>
      <c r="K8" s="19" t="s">
        <v>17</v>
      </c>
    </row>
    <row r="9" spans="1:18" s="28" customFormat="1" x14ac:dyDescent="0.25">
      <c r="A9" s="31" t="str">
        <f t="shared" si="0"/>
        <v>BEM-315-2010</v>
      </c>
      <c r="B9" s="32">
        <v>315</v>
      </c>
      <c r="C9" s="31">
        <v>-4.0199999999999996</v>
      </c>
      <c r="D9" s="31">
        <v>2010</v>
      </c>
      <c r="E9" s="18" t="s">
        <v>20</v>
      </c>
      <c r="F9" s="33" t="s">
        <v>17</v>
      </c>
      <c r="G9" s="19" t="s">
        <v>17</v>
      </c>
      <c r="H9" s="19" t="s">
        <v>17</v>
      </c>
      <c r="I9" s="39">
        <v>0.53</v>
      </c>
      <c r="J9" s="39">
        <v>0.64</v>
      </c>
      <c r="K9" s="39">
        <v>0.83</v>
      </c>
      <c r="L9"/>
      <c r="M9"/>
      <c r="N9"/>
      <c r="O9"/>
      <c r="P9"/>
      <c r="Q9"/>
      <c r="R9"/>
    </row>
    <row r="10" spans="1:18" x14ac:dyDescent="0.25">
      <c r="A10" s="31" t="str">
        <f t="shared" si="0"/>
        <v>BEM-306-20102015AVG</v>
      </c>
      <c r="B10" s="32">
        <v>306</v>
      </c>
      <c r="C10" s="31">
        <v>-2.38</v>
      </c>
      <c r="D10" s="31" t="s">
        <v>39</v>
      </c>
      <c r="E10" s="18" t="s">
        <v>20</v>
      </c>
      <c r="F10" s="17">
        <v>1150</v>
      </c>
      <c r="G10" s="18">
        <v>193</v>
      </c>
      <c r="H10" s="22">
        <v>6</v>
      </c>
      <c r="I10" s="19" t="s">
        <v>17</v>
      </c>
      <c r="J10" s="19" t="s">
        <v>17</v>
      </c>
      <c r="K10" s="19" t="s">
        <v>17</v>
      </c>
    </row>
    <row r="11" spans="1:18" s="28" customFormat="1" x14ac:dyDescent="0.25">
      <c r="A11" s="31" t="str">
        <f t="shared" si="0"/>
        <v>BEM-306-2010</v>
      </c>
      <c r="B11" s="32">
        <v>306</v>
      </c>
      <c r="C11" s="31">
        <v>-2.38</v>
      </c>
      <c r="D11" s="31">
        <v>2010</v>
      </c>
      <c r="E11" s="18" t="s">
        <v>20</v>
      </c>
      <c r="F11" s="33" t="s">
        <v>17</v>
      </c>
      <c r="G11" s="19" t="s">
        <v>17</v>
      </c>
      <c r="H11" s="19" t="s">
        <v>17</v>
      </c>
      <c r="I11" s="39">
        <v>0.17</v>
      </c>
      <c r="J11" s="39">
        <v>0.44</v>
      </c>
      <c r="K11" s="39">
        <v>0.39</v>
      </c>
      <c r="L11"/>
      <c r="M11"/>
      <c r="N11"/>
      <c r="O11"/>
      <c r="P11"/>
      <c r="Q11"/>
      <c r="R11"/>
    </row>
    <row r="12" spans="1:18" x14ac:dyDescent="0.25">
      <c r="A12" s="31" t="str">
        <f t="shared" si="0"/>
        <v>BEM-301A-20102015AVG</v>
      </c>
      <c r="B12" s="32" t="s">
        <v>5</v>
      </c>
      <c r="C12" s="31">
        <v>-2.06</v>
      </c>
      <c r="D12" s="31" t="s">
        <v>39</v>
      </c>
      <c r="E12" s="18" t="s">
        <v>20</v>
      </c>
      <c r="F12" s="17">
        <v>1521</v>
      </c>
      <c r="G12" s="18">
        <v>76</v>
      </c>
      <c r="H12" s="18">
        <v>20</v>
      </c>
      <c r="I12" s="19" t="s">
        <v>17</v>
      </c>
      <c r="J12" s="19" t="s">
        <v>17</v>
      </c>
      <c r="K12" s="19" t="s">
        <v>17</v>
      </c>
    </row>
    <row r="13" spans="1:18" s="28" customFormat="1" x14ac:dyDescent="0.25">
      <c r="A13" s="31" t="str">
        <f t="shared" si="0"/>
        <v>BEM-301A-2010</v>
      </c>
      <c r="B13" s="32" t="s">
        <v>5</v>
      </c>
      <c r="C13" s="31">
        <v>-2.06</v>
      </c>
      <c r="D13" s="31">
        <v>2010</v>
      </c>
      <c r="E13" s="18" t="s">
        <v>20</v>
      </c>
      <c r="F13" s="33" t="s">
        <v>17</v>
      </c>
      <c r="G13" s="19" t="s">
        <v>17</v>
      </c>
      <c r="H13" s="19" t="s">
        <v>17</v>
      </c>
      <c r="I13" s="39">
        <v>0.25</v>
      </c>
      <c r="J13" s="39">
        <v>0.44</v>
      </c>
      <c r="K13" s="39">
        <v>0.56999999999999995</v>
      </c>
      <c r="L13"/>
      <c r="M13"/>
      <c r="N13"/>
      <c r="O13"/>
      <c r="P13"/>
      <c r="Q13"/>
      <c r="R13"/>
    </row>
    <row r="14" spans="1:18" x14ac:dyDescent="0.25">
      <c r="A14" s="31" t="str">
        <f t="shared" si="0"/>
        <v>BEM-421B-20102015AVG</v>
      </c>
      <c r="B14" s="32" t="s">
        <v>4</v>
      </c>
      <c r="C14" s="31">
        <v>-0.84</v>
      </c>
      <c r="D14" s="31" t="s">
        <v>39</v>
      </c>
      <c r="E14" s="18" t="s">
        <v>20</v>
      </c>
      <c r="F14" s="17">
        <v>2652</v>
      </c>
      <c r="G14" s="18">
        <v>102</v>
      </c>
      <c r="H14" s="18">
        <v>26</v>
      </c>
      <c r="I14" s="19" t="s">
        <v>17</v>
      </c>
      <c r="J14" s="19" t="s">
        <v>17</v>
      </c>
      <c r="K14" s="19" t="s">
        <v>17</v>
      </c>
    </row>
    <row r="15" spans="1:18" s="28" customFormat="1" x14ac:dyDescent="0.25">
      <c r="A15" s="31" t="str">
        <f t="shared" si="0"/>
        <v>BEM-421-2010</v>
      </c>
      <c r="B15" s="32">
        <v>421</v>
      </c>
      <c r="C15" s="31">
        <v>0</v>
      </c>
      <c r="D15" s="31">
        <v>2010</v>
      </c>
      <c r="E15" s="18" t="s">
        <v>20</v>
      </c>
      <c r="F15" s="19" t="s">
        <v>17</v>
      </c>
      <c r="G15" s="19" t="s">
        <v>17</v>
      </c>
      <c r="H15" s="19" t="s">
        <v>17</v>
      </c>
      <c r="I15" s="39">
        <v>0.55000000000000004</v>
      </c>
      <c r="J15" s="39">
        <v>0.56999999999999995</v>
      </c>
      <c r="K15" s="39">
        <v>0.97</v>
      </c>
      <c r="L15"/>
      <c r="M15"/>
      <c r="N15"/>
      <c r="O15"/>
      <c r="P15"/>
      <c r="Q15"/>
      <c r="R15"/>
    </row>
    <row r="16" spans="1:18" x14ac:dyDescent="0.25">
      <c r="A16" s="31" t="str">
        <f t="shared" si="0"/>
        <v>BEM-423-20102015AVG</v>
      </c>
      <c r="B16" s="32">
        <v>423</v>
      </c>
      <c r="C16" s="31">
        <v>19.510000000000002</v>
      </c>
      <c r="D16" s="31" t="s">
        <v>39</v>
      </c>
      <c r="E16" s="18" t="s">
        <v>20</v>
      </c>
      <c r="F16" s="17">
        <v>4179</v>
      </c>
      <c r="G16" s="18">
        <v>98</v>
      </c>
      <c r="H16" s="18">
        <v>43</v>
      </c>
      <c r="I16" s="19" t="s">
        <v>17</v>
      </c>
      <c r="J16" s="19" t="s">
        <v>17</v>
      </c>
      <c r="K16" s="19" t="s">
        <v>17</v>
      </c>
    </row>
    <row r="17" spans="1:18" s="28" customFormat="1" x14ac:dyDescent="0.25">
      <c r="A17" s="31" t="str">
        <f t="shared" si="0"/>
        <v>BEM-423-2010</v>
      </c>
      <c r="B17" s="32">
        <v>423</v>
      </c>
      <c r="C17" s="31">
        <v>19.510000000000002</v>
      </c>
      <c r="D17" s="31">
        <v>2010</v>
      </c>
      <c r="E17" s="18" t="s">
        <v>20</v>
      </c>
      <c r="F17" s="19" t="s">
        <v>17</v>
      </c>
      <c r="G17" s="19" t="s">
        <v>17</v>
      </c>
      <c r="H17" s="19" t="s">
        <v>17</v>
      </c>
      <c r="I17" s="18">
        <v>1.07</v>
      </c>
      <c r="J17" s="39">
        <v>0.52</v>
      </c>
      <c r="K17" s="18">
        <v>2.06</v>
      </c>
      <c r="L17"/>
      <c r="M17"/>
      <c r="N17"/>
      <c r="O17"/>
      <c r="P17"/>
      <c r="Q17"/>
      <c r="R17"/>
    </row>
    <row r="18" spans="1:18" x14ac:dyDescent="0.25">
      <c r="A18" s="31" t="str">
        <f t="shared" si="0"/>
        <v>BEM-521-20102015AVG</v>
      </c>
      <c r="B18" s="32">
        <v>521</v>
      </c>
      <c r="C18" s="31">
        <v>22.38</v>
      </c>
      <c r="D18" s="31" t="s">
        <v>39</v>
      </c>
      <c r="E18" s="18" t="s">
        <v>20</v>
      </c>
      <c r="F18" s="17">
        <v>1514</v>
      </c>
      <c r="G18" s="18">
        <v>63</v>
      </c>
      <c r="H18" s="18">
        <v>24</v>
      </c>
      <c r="I18" s="19" t="s">
        <v>17</v>
      </c>
      <c r="J18" s="19" t="s">
        <v>17</v>
      </c>
      <c r="K18" s="19" t="s">
        <v>17</v>
      </c>
    </row>
    <row r="19" spans="1:18" s="28" customFormat="1" x14ac:dyDescent="0.25">
      <c r="A19" s="31" t="str">
        <f t="shared" si="0"/>
        <v>BEM-521-2010</v>
      </c>
      <c r="B19" s="32">
        <v>521</v>
      </c>
      <c r="C19" s="31">
        <v>22.38</v>
      </c>
      <c r="D19" s="31">
        <v>2010</v>
      </c>
      <c r="E19" s="18" t="s">
        <v>20</v>
      </c>
      <c r="F19" s="19" t="s">
        <v>17</v>
      </c>
      <c r="G19" s="19" t="s">
        <v>17</v>
      </c>
      <c r="H19" s="19" t="s">
        <v>17</v>
      </c>
      <c r="I19" s="39">
        <v>0.39</v>
      </c>
      <c r="J19" s="39">
        <v>0.39</v>
      </c>
      <c r="K19" s="18">
        <v>1.01</v>
      </c>
      <c r="L19"/>
      <c r="M19"/>
      <c r="N19"/>
      <c r="O19"/>
      <c r="P19"/>
      <c r="Q19"/>
      <c r="R19"/>
    </row>
    <row r="20" spans="1:18" x14ac:dyDescent="0.25">
      <c r="A20" s="31" t="str">
        <f t="shared" si="0"/>
        <v>BEM-534A-20102015AVG</v>
      </c>
      <c r="B20" s="32" t="s">
        <v>0</v>
      </c>
      <c r="C20" s="31">
        <v>23.84</v>
      </c>
      <c r="D20" s="31" t="s">
        <v>39</v>
      </c>
      <c r="E20" s="18" t="s">
        <v>20</v>
      </c>
      <c r="F20" s="17">
        <v>3680.5</v>
      </c>
      <c r="G20" s="18">
        <v>101</v>
      </c>
      <c r="H20" s="18">
        <v>37</v>
      </c>
      <c r="I20" s="19" t="s">
        <v>17</v>
      </c>
      <c r="J20" s="19" t="s">
        <v>17</v>
      </c>
      <c r="K20" s="19" t="s">
        <v>17</v>
      </c>
    </row>
    <row r="21" spans="1:18" s="28" customFormat="1" x14ac:dyDescent="0.25">
      <c r="A21" s="31" t="str">
        <f t="shared" si="0"/>
        <v>BEM-534A-2010</v>
      </c>
      <c r="B21" s="32" t="s">
        <v>0</v>
      </c>
      <c r="C21" s="31">
        <v>23.84</v>
      </c>
      <c r="D21" s="31">
        <v>2010</v>
      </c>
      <c r="E21" s="18" t="s">
        <v>20</v>
      </c>
      <c r="F21" s="19" t="s">
        <v>17</v>
      </c>
      <c r="G21" s="19" t="s">
        <v>17</v>
      </c>
      <c r="H21" s="19" t="s">
        <v>17</v>
      </c>
      <c r="I21" s="39">
        <v>0.96</v>
      </c>
      <c r="J21" s="39">
        <v>0.47</v>
      </c>
      <c r="K21" s="18">
        <v>2.04</v>
      </c>
      <c r="L21"/>
      <c r="M21"/>
      <c r="N21"/>
      <c r="O21"/>
      <c r="P21"/>
      <c r="Q21"/>
      <c r="R21"/>
    </row>
    <row r="22" spans="1:18" x14ac:dyDescent="0.25">
      <c r="A22" s="31" t="str">
        <f t="shared" si="0"/>
        <v>BEM-522-20102015AVG</v>
      </c>
      <c r="B22" s="32">
        <v>522</v>
      </c>
      <c r="C22" s="31">
        <v>25.71</v>
      </c>
      <c r="D22" s="31" t="s">
        <v>39</v>
      </c>
      <c r="E22" s="18" t="s">
        <v>20</v>
      </c>
      <c r="F22" s="17">
        <v>4158</v>
      </c>
      <c r="G22" s="18">
        <v>84</v>
      </c>
      <c r="H22" s="18">
        <v>50</v>
      </c>
      <c r="I22" s="19" t="s">
        <v>17</v>
      </c>
      <c r="J22" s="19" t="s">
        <v>17</v>
      </c>
      <c r="K22" s="19" t="s">
        <v>17</v>
      </c>
    </row>
    <row r="23" spans="1:18" s="28" customFormat="1" x14ac:dyDescent="0.25">
      <c r="A23" s="31" t="str">
        <f t="shared" si="0"/>
        <v>BEM-522-2010</v>
      </c>
      <c r="B23" s="32">
        <v>522</v>
      </c>
      <c r="C23" s="31">
        <v>25.71</v>
      </c>
      <c r="D23" s="31">
        <v>2010</v>
      </c>
      <c r="E23" s="18" t="s">
        <v>20</v>
      </c>
      <c r="F23" s="19" t="s">
        <v>17</v>
      </c>
      <c r="G23" s="19" t="s">
        <v>17</v>
      </c>
      <c r="H23" s="19" t="s">
        <v>17</v>
      </c>
      <c r="I23" s="39">
        <v>0.77</v>
      </c>
      <c r="J23" s="39">
        <v>0.49</v>
      </c>
      <c r="K23" s="18">
        <v>1.57</v>
      </c>
      <c r="L23"/>
      <c r="M23"/>
      <c r="N23"/>
      <c r="O23"/>
      <c r="P23"/>
      <c r="Q23"/>
      <c r="R23"/>
    </row>
    <row r="24" spans="1:18" x14ac:dyDescent="0.25">
      <c r="A24" s="31" t="str">
        <f t="shared" si="0"/>
        <v>BEM-420B-20102015AVG</v>
      </c>
      <c r="B24" s="23" t="s">
        <v>23</v>
      </c>
      <c r="C24" s="31">
        <v>28.95</v>
      </c>
      <c r="D24" s="31" t="s">
        <v>39</v>
      </c>
      <c r="E24" s="18" t="s">
        <v>20</v>
      </c>
      <c r="F24" s="39">
        <v>0.78</v>
      </c>
      <c r="G24" s="18">
        <v>0.14000000000000001</v>
      </c>
      <c r="H24" s="18">
        <v>5.6</v>
      </c>
      <c r="I24" s="19" t="s">
        <v>17</v>
      </c>
      <c r="J24" s="19" t="s">
        <v>17</v>
      </c>
      <c r="K24" s="19" t="s">
        <v>17</v>
      </c>
    </row>
    <row r="25" spans="1:18" s="28" customFormat="1" x14ac:dyDescent="0.25">
      <c r="A25" s="31" t="str">
        <f t="shared" si="0"/>
        <v>BEM-420B-2010</v>
      </c>
      <c r="B25" s="23" t="s">
        <v>23</v>
      </c>
      <c r="C25" s="31">
        <v>28.95</v>
      </c>
      <c r="D25" s="31">
        <v>2010</v>
      </c>
      <c r="E25" s="18" t="s">
        <v>20</v>
      </c>
      <c r="F25" s="19" t="s">
        <v>17</v>
      </c>
      <c r="G25" s="19" t="s">
        <v>17</v>
      </c>
      <c r="H25" s="19" t="s">
        <v>17</v>
      </c>
      <c r="I25" s="39">
        <v>0.56999999999999995</v>
      </c>
      <c r="J25" s="39">
        <v>0.39</v>
      </c>
      <c r="K25" s="18">
        <v>1.46</v>
      </c>
      <c r="L25"/>
      <c r="M25"/>
      <c r="N25"/>
      <c r="O25"/>
      <c r="P25"/>
      <c r="Q25"/>
      <c r="R25"/>
    </row>
    <row r="26" spans="1:18" x14ac:dyDescent="0.25">
      <c r="A26" s="31" t="str">
        <f t="shared" si="0"/>
        <v>BEM-420D-20102015AVG</v>
      </c>
      <c r="B26" s="23" t="s">
        <v>24</v>
      </c>
      <c r="C26" s="31">
        <v>28.95</v>
      </c>
      <c r="D26" s="31" t="s">
        <v>39</v>
      </c>
      <c r="E26" s="18" t="s">
        <v>20</v>
      </c>
      <c r="F26" s="17">
        <v>3081</v>
      </c>
      <c r="G26" s="18">
        <v>73</v>
      </c>
      <c r="H26" s="18">
        <v>42</v>
      </c>
      <c r="I26" s="19" t="s">
        <v>17</v>
      </c>
      <c r="J26" s="19" t="s">
        <v>17</v>
      </c>
      <c r="K26" s="19" t="s">
        <v>17</v>
      </c>
    </row>
    <row r="27" spans="1:18" x14ac:dyDescent="0.25">
      <c r="A27" s="31" t="str">
        <f t="shared" si="0"/>
        <v>BEM-533B-20102015AVG</v>
      </c>
      <c r="B27" s="32" t="s">
        <v>27</v>
      </c>
      <c r="C27" s="31">
        <v>34.869999999999997</v>
      </c>
      <c r="D27" s="31" t="s">
        <v>39</v>
      </c>
      <c r="E27" s="18" t="s">
        <v>20</v>
      </c>
      <c r="F27" s="17">
        <v>520</v>
      </c>
      <c r="G27" s="18">
        <v>23</v>
      </c>
      <c r="H27" s="18">
        <v>23</v>
      </c>
      <c r="I27" s="19" t="s">
        <v>17</v>
      </c>
      <c r="J27" s="19" t="s">
        <v>17</v>
      </c>
      <c r="K27" s="19" t="s">
        <v>17</v>
      </c>
    </row>
    <row r="28" spans="1:18" x14ac:dyDescent="0.25">
      <c r="A28" s="31" t="str">
        <f t="shared" si="0"/>
        <v>BEM-533D-20102015AVG</v>
      </c>
      <c r="B28" s="34" t="s">
        <v>1</v>
      </c>
      <c r="C28" s="35">
        <v>37.229999999999997</v>
      </c>
      <c r="D28" s="35" t="s">
        <v>39</v>
      </c>
      <c r="E28" s="18" t="s">
        <v>20</v>
      </c>
      <c r="F28" s="26">
        <v>3372.5</v>
      </c>
      <c r="G28" s="27">
        <v>95</v>
      </c>
      <c r="H28" s="27">
        <v>26</v>
      </c>
      <c r="I28" s="19" t="s">
        <v>17</v>
      </c>
      <c r="J28" s="19" t="s">
        <v>17</v>
      </c>
      <c r="K28" s="19" t="s">
        <v>17</v>
      </c>
    </row>
    <row r="29" spans="1:18" s="29" customFormat="1" x14ac:dyDescent="0.25">
      <c r="A29" s="36" t="str">
        <f t="shared" si="0"/>
        <v>BEM-533D-2010</v>
      </c>
      <c r="B29" s="37" t="s">
        <v>1</v>
      </c>
      <c r="C29" s="36">
        <v>37.229999999999997</v>
      </c>
      <c r="D29" s="36">
        <v>2010</v>
      </c>
      <c r="E29" s="21" t="s">
        <v>20</v>
      </c>
      <c r="F29" s="38" t="s">
        <v>17</v>
      </c>
      <c r="G29" s="21" t="s">
        <v>17</v>
      </c>
      <c r="H29" s="21" t="s">
        <v>17</v>
      </c>
      <c r="I29" s="40">
        <v>0.64</v>
      </c>
      <c r="J29" s="40">
        <v>0.46</v>
      </c>
      <c r="K29" s="21">
        <v>1.39</v>
      </c>
      <c r="L29"/>
      <c r="M29"/>
      <c r="N29"/>
      <c r="O29"/>
      <c r="P29"/>
      <c r="Q29"/>
      <c r="R29"/>
    </row>
    <row r="30" spans="1:18" x14ac:dyDescent="0.25">
      <c r="A30" s="1" t="str">
        <f t="shared" si="0"/>
        <v>BEM-533E-20102015AVG</v>
      </c>
      <c r="B30" s="5" t="s">
        <v>6</v>
      </c>
      <c r="C30" s="1">
        <v>38.5</v>
      </c>
      <c r="D30" s="1" t="s">
        <v>39</v>
      </c>
      <c r="E30" s="12" t="s">
        <v>21</v>
      </c>
      <c r="F30" s="17">
        <v>2006</v>
      </c>
      <c r="G30" s="18">
        <v>51</v>
      </c>
      <c r="H30" s="18">
        <v>39</v>
      </c>
      <c r="I30" s="18" t="s">
        <v>17</v>
      </c>
      <c r="J30" s="18" t="s">
        <v>17</v>
      </c>
      <c r="K30" s="18" t="s">
        <v>17</v>
      </c>
    </row>
    <row r="31" spans="1:18" x14ac:dyDescent="0.25">
      <c r="A31" s="1" t="str">
        <f t="shared" si="0"/>
        <v>BEM-532B-20102015AVG</v>
      </c>
      <c r="B31" s="5" t="s">
        <v>7</v>
      </c>
      <c r="C31" s="1">
        <v>45.42</v>
      </c>
      <c r="D31" s="1" t="s">
        <v>39</v>
      </c>
      <c r="E31" s="12" t="s">
        <v>21</v>
      </c>
      <c r="F31" s="17">
        <v>787</v>
      </c>
      <c r="G31" s="18">
        <v>27</v>
      </c>
      <c r="H31" s="18">
        <v>29</v>
      </c>
      <c r="I31" s="18" t="s">
        <v>17</v>
      </c>
      <c r="J31" s="18" t="s">
        <v>17</v>
      </c>
      <c r="K31" s="18" t="s">
        <v>17</v>
      </c>
    </row>
    <row r="32" spans="1:18" x14ac:dyDescent="0.25">
      <c r="A32" s="1" t="str">
        <f t="shared" si="0"/>
        <v>BEM-532E-20102015AVG</v>
      </c>
      <c r="B32" s="5" t="s">
        <v>28</v>
      </c>
      <c r="C32" s="1">
        <v>49.62</v>
      </c>
      <c r="D32" s="1" t="s">
        <v>39</v>
      </c>
      <c r="E32" s="12" t="s">
        <v>21</v>
      </c>
      <c r="F32" s="17">
        <v>103</v>
      </c>
      <c r="G32" s="22">
        <v>3.3</v>
      </c>
      <c r="H32" s="18">
        <v>31</v>
      </c>
      <c r="I32" s="18" t="s">
        <v>17</v>
      </c>
      <c r="J32" s="18" t="s">
        <v>17</v>
      </c>
      <c r="K32" s="18" t="s">
        <v>17</v>
      </c>
    </row>
    <row r="33" spans="1:11" x14ac:dyDescent="0.25">
      <c r="A33" s="1" t="str">
        <f t="shared" si="0"/>
        <v>BEM-518B-20102015AVG</v>
      </c>
      <c r="B33" s="5" t="s">
        <v>8</v>
      </c>
      <c r="C33" s="1">
        <v>55.71</v>
      </c>
      <c r="D33" s="1" t="s">
        <v>39</v>
      </c>
      <c r="E33" s="12" t="s">
        <v>21</v>
      </c>
      <c r="F33" s="17">
        <v>2013</v>
      </c>
      <c r="G33" s="18">
        <v>12</v>
      </c>
      <c r="H33" s="18">
        <v>171</v>
      </c>
      <c r="I33" s="18" t="s">
        <v>17</v>
      </c>
      <c r="J33" s="18" t="s">
        <v>17</v>
      </c>
      <c r="K33" s="18" t="s">
        <v>17</v>
      </c>
    </row>
    <row r="34" spans="1:11" x14ac:dyDescent="0.25">
      <c r="A34" s="1" t="str">
        <f t="shared" si="0"/>
        <v>BEM-518A-20102015AVG</v>
      </c>
      <c r="B34" s="5" t="s">
        <v>9</v>
      </c>
      <c r="C34" s="1">
        <v>56.88</v>
      </c>
      <c r="D34" s="1" t="s">
        <v>39</v>
      </c>
      <c r="E34" s="12" t="s">
        <v>21</v>
      </c>
      <c r="F34" s="17">
        <v>2269</v>
      </c>
      <c r="G34" s="18">
        <v>10</v>
      </c>
      <c r="H34" s="18">
        <v>227</v>
      </c>
      <c r="I34" s="18" t="s">
        <v>17</v>
      </c>
      <c r="J34" s="18" t="s">
        <v>17</v>
      </c>
      <c r="K34" s="18" t="s">
        <v>17</v>
      </c>
    </row>
    <row r="35" spans="1:11" x14ac:dyDescent="0.25">
      <c r="A35" s="1" t="str">
        <f t="shared" si="0"/>
        <v>BEM-531C-20102015AVG</v>
      </c>
      <c r="B35" s="5" t="s">
        <v>10</v>
      </c>
      <c r="C35" s="1">
        <v>66.63</v>
      </c>
      <c r="D35" s="1" t="s">
        <v>39</v>
      </c>
      <c r="E35" s="12" t="s">
        <v>21</v>
      </c>
      <c r="F35" s="39">
        <v>0.3</v>
      </c>
      <c r="G35" s="18">
        <v>0.49</v>
      </c>
      <c r="H35" s="18">
        <v>0.61</v>
      </c>
      <c r="I35" s="18" t="s">
        <v>17</v>
      </c>
      <c r="J35" s="18" t="s">
        <v>17</v>
      </c>
      <c r="K35" s="18" t="s">
        <v>17</v>
      </c>
    </row>
    <row r="36" spans="1:11" x14ac:dyDescent="0.25">
      <c r="A36" s="1" t="str">
        <f t="shared" si="0"/>
        <v>BEM-531A-20102015AVG</v>
      </c>
      <c r="B36" s="5" t="s">
        <v>11</v>
      </c>
      <c r="C36" s="1">
        <v>67.459999999999994</v>
      </c>
      <c r="D36" s="1" t="s">
        <v>39</v>
      </c>
      <c r="E36" s="12" t="s">
        <v>21</v>
      </c>
      <c r="F36" s="17">
        <v>750</v>
      </c>
      <c r="G36" s="18">
        <v>2.1</v>
      </c>
      <c r="H36" s="18">
        <v>352</v>
      </c>
      <c r="I36" s="18" t="s">
        <v>17</v>
      </c>
      <c r="J36" s="18" t="s">
        <v>17</v>
      </c>
      <c r="K36" s="18" t="s">
        <v>17</v>
      </c>
    </row>
    <row r="37" spans="1:11" x14ac:dyDescent="0.25">
      <c r="A37" s="1" t="str">
        <f t="shared" si="0"/>
        <v>BEM-513-20102015AVG</v>
      </c>
      <c r="B37" s="5">
        <v>513</v>
      </c>
      <c r="C37" s="1">
        <v>78.099999999999994</v>
      </c>
      <c r="D37" s="1" t="s">
        <v>39</v>
      </c>
      <c r="E37" s="12" t="s">
        <v>21</v>
      </c>
      <c r="F37" s="17">
        <v>1281</v>
      </c>
      <c r="G37" s="22">
        <v>4</v>
      </c>
      <c r="H37" s="18">
        <v>321</v>
      </c>
      <c r="I37" s="18" t="s">
        <v>17</v>
      </c>
      <c r="J37" s="18" t="s">
        <v>17</v>
      </c>
      <c r="K37" s="18" t="s">
        <v>17</v>
      </c>
    </row>
    <row r="38" spans="1:11" x14ac:dyDescent="0.25">
      <c r="A38" s="1" t="str">
        <f t="shared" si="0"/>
        <v>BEM-530B-20102015AVG</v>
      </c>
      <c r="B38" s="5" t="s">
        <v>3</v>
      </c>
      <c r="C38" s="1">
        <v>91.26</v>
      </c>
      <c r="D38" s="1" t="s">
        <v>39</v>
      </c>
      <c r="E38" s="12" t="s">
        <v>21</v>
      </c>
      <c r="F38" s="17">
        <v>414</v>
      </c>
      <c r="G38" s="18">
        <v>1.9</v>
      </c>
      <c r="H38" s="18">
        <v>219</v>
      </c>
      <c r="I38" s="18" t="s">
        <v>17</v>
      </c>
      <c r="J38" s="18" t="s">
        <v>17</v>
      </c>
      <c r="K38" s="18" t="s">
        <v>17</v>
      </c>
    </row>
    <row r="39" spans="1:11" x14ac:dyDescent="0.25">
      <c r="A39" s="1" t="str">
        <f t="shared" si="0"/>
        <v>BEM-530A-20102015AVG</v>
      </c>
      <c r="B39" s="5" t="s">
        <v>12</v>
      </c>
      <c r="C39" s="1">
        <v>91.87</v>
      </c>
      <c r="D39" s="1" t="s">
        <v>39</v>
      </c>
      <c r="E39" s="12" t="s">
        <v>21</v>
      </c>
      <c r="F39" s="22">
        <v>34</v>
      </c>
      <c r="G39" s="18">
        <v>0.34</v>
      </c>
      <c r="H39" s="18">
        <v>100</v>
      </c>
      <c r="I39" s="18" t="s">
        <v>17</v>
      </c>
      <c r="J39" s="18" t="s">
        <v>17</v>
      </c>
      <c r="K39" s="18" t="s">
        <v>17</v>
      </c>
    </row>
    <row r="40" spans="1:11" x14ac:dyDescent="0.25">
      <c r="A40" s="1" t="str">
        <f t="shared" si="0"/>
        <v>BEM-530C-20102015AVG</v>
      </c>
      <c r="B40" s="5" t="s">
        <v>2</v>
      </c>
      <c r="C40" s="1">
        <v>90.5</v>
      </c>
      <c r="D40" s="1" t="s">
        <v>39</v>
      </c>
      <c r="E40" s="12" t="s">
        <v>21</v>
      </c>
      <c r="F40" s="22">
        <v>26.7</v>
      </c>
      <c r="G40" s="18">
        <v>1.1000000000000001</v>
      </c>
      <c r="H40" s="18">
        <v>25</v>
      </c>
      <c r="I40" s="18" t="s">
        <v>17</v>
      </c>
      <c r="J40" s="18" t="s">
        <v>17</v>
      </c>
      <c r="K40" s="18" t="s">
        <v>17</v>
      </c>
    </row>
    <row r="41" spans="1:11" x14ac:dyDescent="0.25">
      <c r="A41" s="1" t="str">
        <f t="shared" si="0"/>
        <v>BEM-530D-20102015AVG</v>
      </c>
      <c r="B41" s="23" t="s">
        <v>25</v>
      </c>
      <c r="C41" s="1">
        <v>93.73</v>
      </c>
      <c r="D41" s="1" t="s">
        <v>39</v>
      </c>
      <c r="E41" s="12" t="s">
        <v>21</v>
      </c>
      <c r="F41" s="17">
        <v>175</v>
      </c>
      <c r="G41" s="18">
        <v>0.92</v>
      </c>
      <c r="H41" s="18">
        <v>189</v>
      </c>
      <c r="I41" s="18" t="s">
        <v>17</v>
      </c>
      <c r="J41" s="18" t="s">
        <v>17</v>
      </c>
      <c r="K41" s="18" t="s">
        <v>17</v>
      </c>
    </row>
    <row r="42" spans="1:11" x14ac:dyDescent="0.25">
      <c r="A42" s="1" t="str">
        <f t="shared" si="0"/>
        <v>BEM-9315C-20102015AVG</v>
      </c>
      <c r="B42" s="5" t="s">
        <v>13</v>
      </c>
      <c r="C42" s="1">
        <v>101.96</v>
      </c>
      <c r="D42" s="1" t="s">
        <v>39</v>
      </c>
      <c r="E42" s="12" t="s">
        <v>21</v>
      </c>
      <c r="F42" s="17">
        <v>132</v>
      </c>
      <c r="G42" s="18">
        <v>12</v>
      </c>
      <c r="H42" s="18">
        <v>11</v>
      </c>
      <c r="I42" s="18" t="s">
        <v>17</v>
      </c>
      <c r="J42" s="18" t="s">
        <v>17</v>
      </c>
      <c r="K42" s="18" t="s">
        <v>17</v>
      </c>
    </row>
    <row r="43" spans="1:11" x14ac:dyDescent="0.25">
      <c r="A43" s="1" t="str">
        <f t="shared" si="0"/>
        <v>BEM-9315D-20102015AVG</v>
      </c>
      <c r="B43" s="5" t="s">
        <v>14</v>
      </c>
      <c r="C43" s="1">
        <v>101.73</v>
      </c>
      <c r="D43" s="1" t="s">
        <v>39</v>
      </c>
      <c r="E43" s="12" t="s">
        <v>21</v>
      </c>
      <c r="F43" s="20">
        <v>2.5499999999999998</v>
      </c>
      <c r="G43" s="18">
        <v>0.28000000000000003</v>
      </c>
      <c r="H43" s="18">
        <v>9.3000000000000007</v>
      </c>
      <c r="I43" s="18" t="s">
        <v>17</v>
      </c>
      <c r="J43" s="18" t="s">
        <v>17</v>
      </c>
      <c r="K43" s="18" t="s">
        <v>17</v>
      </c>
    </row>
    <row r="44" spans="1:11" x14ac:dyDescent="0.25">
      <c r="A44" s="1" t="str">
        <f t="shared" si="0"/>
        <v>BEM-1101A-20102015AVG</v>
      </c>
      <c r="B44" s="5" t="s">
        <v>15</v>
      </c>
      <c r="C44" s="1">
        <v>114.6</v>
      </c>
      <c r="D44" s="1" t="s">
        <v>39</v>
      </c>
      <c r="E44" s="12" t="s">
        <v>21</v>
      </c>
      <c r="F44" s="22">
        <v>83.3</v>
      </c>
      <c r="G44" s="18">
        <v>0.37</v>
      </c>
      <c r="H44" s="18">
        <v>225</v>
      </c>
      <c r="I44" s="18" t="s">
        <v>17</v>
      </c>
      <c r="J44" s="18" t="s">
        <v>17</v>
      </c>
      <c r="K44" s="18" t="s">
        <v>17</v>
      </c>
    </row>
    <row r="45" spans="1:11" x14ac:dyDescent="0.25">
      <c r="A45" s="7" t="str">
        <f t="shared" si="0"/>
        <v>BEM-1101C-20102015AVG</v>
      </c>
      <c r="B45" s="6" t="s">
        <v>16</v>
      </c>
      <c r="C45" s="7">
        <v>116.29</v>
      </c>
      <c r="D45" s="7" t="s">
        <v>39</v>
      </c>
      <c r="E45" s="13" t="s">
        <v>21</v>
      </c>
      <c r="F45" s="24">
        <v>71</v>
      </c>
      <c r="G45" s="21">
        <v>0.19</v>
      </c>
      <c r="H45" s="21">
        <v>374</v>
      </c>
      <c r="I45" s="21" t="s">
        <v>17</v>
      </c>
      <c r="J45" s="21" t="s">
        <v>17</v>
      </c>
      <c r="K45" s="21" t="s">
        <v>17</v>
      </c>
    </row>
    <row r="46" spans="1:11" customFormat="1" x14ac:dyDescent="0.25"/>
    <row r="47" spans="1:11" customFormat="1" x14ac:dyDescent="0.25"/>
    <row r="48" spans="1:11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</sheetData>
  <printOptions gridLines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122BB1BD9141A959870760A42A63" ma:contentTypeVersion="13" ma:contentTypeDescription="Create a new document." ma:contentTypeScope="" ma:versionID="c107f7df6cb6a13769a912521def2197">
  <xsd:schema xmlns:xsd="http://www.w3.org/2001/XMLSchema" xmlns:xs="http://www.w3.org/2001/XMLSchema" xmlns:p="http://schemas.microsoft.com/office/2006/metadata/properties" xmlns:ns1="http://schemas.microsoft.com/sharepoint/v3" xmlns:ns2="1741af05-4105-436b-99ed-2ae635da4422" xmlns:ns3="949c1712-297b-4d10-a511-7202a5ff7746" targetNamespace="http://schemas.microsoft.com/office/2006/metadata/properties" ma:root="true" ma:fieldsID="6f254da58098d8c20848d381212ba4e5" ns1:_="" ns2:_="" ns3:_="">
    <xsd:import namespace="http://schemas.microsoft.com/sharepoint/v3"/>
    <xsd:import namespace="1741af05-4105-436b-99ed-2ae635da4422"/>
    <xsd:import namespace="949c1712-297b-4d10-a511-7202a5ff77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41af05-4105-436b-99ed-2ae635da44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c1712-297b-4d10-a511-7202a5ff774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44FC2A-5350-4A8E-ADCD-9BA47A919EA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F4AD4BE6-161E-4F29-B618-6623C607E8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51C02E-40BA-44CF-9040-D6FB2C0C3B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741af05-4105-436b-99ed-2ae635da4422"/>
    <ds:schemaRef ds:uri="949c1712-297b-4d10-a511-7202a5ff77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T3-Bz-Naph-Dist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Baedecker, Mary J.</dc:creator>
  <cp:lastModifiedBy>Polite, Bridgette (Contractor)</cp:lastModifiedBy>
  <cp:lastPrinted>2019-05-21T15:04:55Z</cp:lastPrinted>
  <dcterms:created xsi:type="dcterms:W3CDTF">2018-12-06T18:57:38Z</dcterms:created>
  <dcterms:modified xsi:type="dcterms:W3CDTF">2021-10-01T17:55:06Z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0x010100A4FB122BB1BD9141A959870760A42A63</vt:lpwstr>
  </property>
</Properties>
</file>