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ggunther_usgs_gov/Documents/Data Releases/Data Releasees/P9D6D1KG_Birdwell_2021/final/"/>
    </mc:Choice>
  </mc:AlternateContent>
  <xr:revisionPtr revIDLastSave="1" documentId="13_ncr:1_{E176FA18-A241-46B5-B5E4-2B97957861BC}" xr6:coauthVersionLast="45" xr6:coauthVersionMax="47" xr10:uidLastSave="{3AA82D9D-CE2F-4F81-97A2-5556600577BF}"/>
  <bookViews>
    <workbookView xWindow="780" yWindow="780" windowWidth="21600" windowHeight="11385" tabRatio="629" xr2:uid="{19CB0C00-8670-41F5-8B13-FC1FC86DBBC6}"/>
  </bookViews>
  <sheets>
    <sheet name="Inorganic chemistry" sheetId="3" r:id="rId1"/>
    <sheet name="Organic geochemistry" sheetId="1" r:id="rId2"/>
    <sheet name="Mineralogy" sheetId="2" r:id="rId3"/>
    <sheet name="Extractable organic matt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" i="4" l="1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<sst xmlns="http://schemas.openxmlformats.org/spreadsheetml/2006/main" count="633" uniqueCount="172">
  <si>
    <t>As</t>
  </si>
  <si>
    <t>Cl</t>
  </si>
  <si>
    <t>CO2</t>
  </si>
  <si>
    <t>CRBNT_C</t>
  </si>
  <si>
    <t>FeO</t>
  </si>
  <si>
    <t>Hg</t>
  </si>
  <si>
    <t>Organic_C</t>
  </si>
  <si>
    <t>Sb</t>
  </si>
  <si>
    <t>Se</t>
  </si>
  <si>
    <t>Te</t>
  </si>
  <si>
    <t>C</t>
  </si>
  <si>
    <t>S</t>
  </si>
  <si>
    <t>Al</t>
  </si>
  <si>
    <t>Ca</t>
  </si>
  <si>
    <t>Fe</t>
  </si>
  <si>
    <t>K</t>
  </si>
  <si>
    <t>Mg</t>
  </si>
  <si>
    <t>Na</t>
  </si>
  <si>
    <t>P</t>
  </si>
  <si>
    <t>Si</t>
  </si>
  <si>
    <t>Ti</t>
  </si>
  <si>
    <t>Ba</t>
  </si>
  <si>
    <t>Cr</t>
  </si>
  <si>
    <t>Mn</t>
  </si>
  <si>
    <t>Nb</t>
  </si>
  <si>
    <t>Sr</t>
  </si>
  <si>
    <t>Y</t>
  </si>
  <si>
    <t>Zr</t>
  </si>
  <si>
    <t>Ag</t>
  </si>
  <si>
    <t>Be</t>
  </si>
  <si>
    <t>Bi</t>
  </si>
  <si>
    <t>Cd</t>
  </si>
  <si>
    <t>Ce</t>
  </si>
  <si>
    <t>Co</t>
  </si>
  <si>
    <t>Cs</t>
  </si>
  <si>
    <t>Cu</t>
  </si>
  <si>
    <t>Ga</t>
  </si>
  <si>
    <t>In</t>
  </si>
  <si>
    <t>La</t>
  </si>
  <si>
    <t>Li</t>
  </si>
  <si>
    <t>Mo</t>
  </si>
  <si>
    <t>Ni</t>
  </si>
  <si>
    <t>Pb</t>
  </si>
  <si>
    <t>Rb</t>
  </si>
  <si>
    <t>Sc</t>
  </si>
  <si>
    <t>Sn</t>
  </si>
  <si>
    <t>Th</t>
  </si>
  <si>
    <t>Tl</t>
  </si>
  <si>
    <t>U</t>
  </si>
  <si>
    <t>V</t>
  </si>
  <si>
    <t>W</t>
  </si>
  <si>
    <t>Zn</t>
  </si>
  <si>
    <t>B</t>
  </si>
  <si>
    <t>Dy</t>
  </si>
  <si>
    <t>Er</t>
  </si>
  <si>
    <t>Eu</t>
  </si>
  <si>
    <t>Gd</t>
  </si>
  <si>
    <t>Ge</t>
  </si>
  <si>
    <t>Hf</t>
  </si>
  <si>
    <t>Ho</t>
  </si>
  <si>
    <t>Lu</t>
  </si>
  <si>
    <t>Nd</t>
  </si>
  <si>
    <t>Pr</t>
  </si>
  <si>
    <t>Sm</t>
  </si>
  <si>
    <t>Ta</t>
  </si>
  <si>
    <t>Tb</t>
  </si>
  <si>
    <t>Tm</t>
  </si>
  <si>
    <t>Yb</t>
  </si>
  <si>
    <t>Al2O3</t>
  </si>
  <si>
    <t>CaO</t>
  </si>
  <si>
    <t>Cr2O3</t>
  </si>
  <si>
    <t>Fe2O3</t>
  </si>
  <si>
    <t>K2O</t>
  </si>
  <si>
    <t>LOI</t>
  </si>
  <si>
    <t>MgO</t>
  </si>
  <si>
    <t>MnO</t>
  </si>
  <si>
    <t>Na2O</t>
  </si>
  <si>
    <t>P2O5</t>
  </si>
  <si>
    <t>SiO2</t>
  </si>
  <si>
    <t>TiO2</t>
  </si>
  <si>
    <t>200D</t>
  </si>
  <si>
    <t>1600D</t>
  </si>
  <si>
    <t>Instrument</t>
  </si>
  <si>
    <t>BOQ-2</t>
  </si>
  <si>
    <t>1030D</t>
  </si>
  <si>
    <t>Rock Eval 2</t>
  </si>
  <si>
    <t>1179A</t>
  </si>
  <si>
    <t>1647A</t>
  </si>
  <si>
    <t>Rock Eval 6</t>
  </si>
  <si>
    <t>SRA</t>
  </si>
  <si>
    <t>BOQ-3</t>
  </si>
  <si>
    <t>BOQ-4</t>
  </si>
  <si>
    <t>348B</t>
  </si>
  <si>
    <t>1896C</t>
  </si>
  <si>
    <t>1647D</t>
  </si>
  <si>
    <t>BOQ-5</t>
  </si>
  <si>
    <t>1761A</t>
  </si>
  <si>
    <t>1179C</t>
  </si>
  <si>
    <t>1647C</t>
  </si>
  <si>
    <t>BOQ-7</t>
  </si>
  <si>
    <t>348A</t>
  </si>
  <si>
    <t>454C</t>
  </si>
  <si>
    <t>1649A</t>
  </si>
  <si>
    <t>HAWK</t>
  </si>
  <si>
    <t>BOQ-10</t>
  </si>
  <si>
    <t>348C</t>
  </si>
  <si>
    <t>1649B</t>
  </si>
  <si>
    <t>1761D</t>
  </si>
  <si>
    <t>1896B</t>
  </si>
  <si>
    <t>BOQ-12</t>
  </si>
  <si>
    <t>96D</t>
  </si>
  <si>
    <t>96E</t>
  </si>
  <si>
    <t>542F</t>
  </si>
  <si>
    <t>360C</t>
  </si>
  <si>
    <t>1179B</t>
  </si>
  <si>
    <t>452</t>
  </si>
  <si>
    <t>Calcite</t>
  </si>
  <si>
    <t>205F</t>
  </si>
  <si>
    <t>trace</t>
  </si>
  <si>
    <t>542C</t>
  </si>
  <si>
    <t>2008B</t>
  </si>
  <si>
    <t>205B</t>
  </si>
  <si>
    <t>96F</t>
  </si>
  <si>
    <t>BOQ-6</t>
  </si>
  <si>
    <t>454A</t>
  </si>
  <si>
    <t>96B</t>
  </si>
  <si>
    <t>205E</t>
  </si>
  <si>
    <t>BOQ-11</t>
  </si>
  <si>
    <t>205D</t>
  </si>
  <si>
    <t>542E</t>
  </si>
  <si>
    <t>1761B</t>
  </si>
  <si>
    <t>Sample</t>
  </si>
  <si>
    <t>ShBOQ-1_1</t>
  </si>
  <si>
    <t>ShBOQ-1_2</t>
  </si>
  <si>
    <t>ShBOQ-1_3</t>
  </si>
  <si>
    <t>ShBOQ-1_4</t>
  </si>
  <si>
    <t>ShBOQ-1_5</t>
  </si>
  <si>
    <t>ShBOQ-1_6</t>
  </si>
  <si>
    <t>ShBOQ-1_7</t>
  </si>
  <si>
    <t>ShBOQ-1_8</t>
  </si>
  <si>
    <t>ShBOQ-1_9</t>
  </si>
  <si>
    <t>ShBOQ-1_10</t>
  </si>
  <si>
    <t>ShBOQ-1_11</t>
  </si>
  <si>
    <t>ShBOQ-1_12</t>
  </si>
  <si>
    <t>ShBOQ-1_13</t>
  </si>
  <si>
    <t>ShBOQ-1_14</t>
  </si>
  <si>
    <t>Lab no</t>
  </si>
  <si>
    <t>Bottle no</t>
  </si>
  <si>
    <t>EOM</t>
  </si>
  <si>
    <t>Quartz</t>
  </si>
  <si>
    <t>K-spar</t>
  </si>
  <si>
    <t>Plag</t>
  </si>
  <si>
    <t>Dolomite</t>
  </si>
  <si>
    <t>Siderite</t>
  </si>
  <si>
    <t>Kaolinite</t>
  </si>
  <si>
    <t>Illite/Mica</t>
  </si>
  <si>
    <t>Mx I/S*</t>
  </si>
  <si>
    <t>Pyrite</t>
  </si>
  <si>
    <t>Gypsum</t>
  </si>
  <si>
    <t>Marcasite</t>
  </si>
  <si>
    <t>Apatite</t>
  </si>
  <si>
    <t>Leco TOC</t>
  </si>
  <si>
    <t>Weight</t>
  </si>
  <si>
    <t>PP TOC</t>
  </si>
  <si>
    <t>S1</t>
  </si>
  <si>
    <t>S2</t>
  </si>
  <si>
    <t>S3</t>
  </si>
  <si>
    <t>Tmax</t>
  </si>
  <si>
    <t>Total Carbon</t>
  </si>
  <si>
    <t>Min Carbon</t>
  </si>
  <si>
    <t>Carbonate</t>
  </si>
  <si>
    <t>Bottle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</si>
</sst>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166" fontId="0" fillId="0" borderId="0" xfId="0" applyNumberFormat="1" applyFill="1"/>
    <xf numFmtId="166" fontId="0" fillId="0" borderId="0" xfId="0" applyNumberFormat="1" applyFill="1" applyAlignment="1">
      <alignment horizontal="right"/>
    </xf>
    <xf numFmtId="166" fontId="1" fillId="0" borderId="0" xfId="0" applyNumberFormat="1" applyFont="1" applyFill="1" applyAlignment="1">
      <alignment horizontal="right"/>
    </xf>
    <xf numFmtId="166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0D33-67E1-4548-95E8-A65996E4BF47}">
  <dimension ref="A1:EL15"/>
  <sheetViews>
    <sheetView tabSelected="1" workbookViewId="0"/>
  </sheetViews>
  <sheetFormatPr defaultRowHeight="15" x14ac:dyDescent="0.25"/>
  <cols>
    <col min="1" max="1" width="10" bestFit="1" customWidth="1"/>
    <col min="2" max="2" width="5" bestFit="1" customWidth="1"/>
    <col min="3" max="3" width="4" bestFit="1" customWidth="1"/>
    <col min="4" max="4" width="5" bestFit="1" customWidth="1"/>
    <col min="5" max="5" width="9" bestFit="1" customWidth="1"/>
    <col min="6" max="6" width="4.5703125" bestFit="1" customWidth="1"/>
    <col min="7" max="7" width="5" bestFit="1" customWidth="1"/>
    <col min="8" max="8" width="9.85546875" bestFit="1" customWidth="1"/>
    <col min="9" max="9" width="3.5703125" bestFit="1" customWidth="1"/>
    <col min="10" max="10" width="4" bestFit="1" customWidth="1"/>
    <col min="11" max="11" width="3.140625" bestFit="1" customWidth="1"/>
    <col min="12" max="12" width="5" bestFit="1" customWidth="1"/>
    <col min="13" max="14" width="4.5703125" bestFit="1" customWidth="1"/>
    <col min="15" max="15" width="5.5703125" bestFit="1" customWidth="1"/>
    <col min="16" max="20" width="4.5703125" bestFit="1" customWidth="1"/>
    <col min="21" max="21" width="5.5703125" bestFit="1" customWidth="1"/>
    <col min="22" max="22" width="4.5703125" bestFit="1" customWidth="1"/>
    <col min="23" max="23" width="3.140625" bestFit="1" customWidth="1"/>
    <col min="24" max="24" width="2.85546875" bestFit="1" customWidth="1"/>
    <col min="25" max="25" width="3.85546875" bestFit="1" customWidth="1"/>
    <col min="26" max="26" width="3.5703125" bestFit="1" customWidth="1"/>
    <col min="27" max="27" width="5" bestFit="1" customWidth="1"/>
    <col min="28" max="28" width="2" bestFit="1" customWidth="1"/>
    <col min="29" max="29" width="3" bestFit="1" customWidth="1"/>
    <col min="30" max="30" width="4.5703125" bestFit="1" customWidth="1"/>
    <col min="31" max="31" width="5.5703125" bestFit="1" customWidth="1"/>
    <col min="32" max="37" width="4.5703125" bestFit="1" customWidth="1"/>
    <col min="38" max="38" width="3.28515625" bestFit="1" customWidth="1"/>
    <col min="39" max="40" width="3.140625" bestFit="1" customWidth="1"/>
    <col min="41" max="41" width="4" bestFit="1" customWidth="1"/>
    <col min="42" max="42" width="5" bestFit="1" customWidth="1"/>
    <col min="43" max="43" width="3.5703125" bestFit="1" customWidth="1"/>
    <col min="44" max="44" width="4.5703125" bestFit="1" customWidth="1"/>
    <col min="45" max="45" width="4" bestFit="1" customWidth="1"/>
    <col min="46" max="47" width="3" bestFit="1" customWidth="1"/>
    <col min="48" max="48" width="5" bestFit="1" customWidth="1"/>
    <col min="49" max="49" width="3.5703125" bestFit="1" customWidth="1"/>
    <col min="50" max="50" width="5" bestFit="1" customWidth="1"/>
    <col min="51" max="51" width="4.5703125" bestFit="1" customWidth="1"/>
    <col min="52" max="52" width="3" bestFit="1" customWidth="1"/>
    <col min="53" max="53" width="3.85546875" bestFit="1" customWidth="1"/>
    <col min="54" max="54" width="4.5703125" bestFit="1" customWidth="1"/>
    <col min="55" max="55" width="4" bestFit="1" customWidth="1"/>
    <col min="56" max="56" width="4.5703125" bestFit="1" customWidth="1"/>
    <col min="57" max="58" width="4" bestFit="1" customWidth="1"/>
    <col min="59" max="59" width="4.5703125" bestFit="1" customWidth="1"/>
    <col min="60" max="60" width="5" bestFit="1" customWidth="1"/>
    <col min="61" max="61" width="4" bestFit="1" customWidth="1"/>
    <col min="62" max="62" width="3.5703125" bestFit="1" customWidth="1"/>
    <col min="63" max="63" width="5" bestFit="1" customWidth="1"/>
    <col min="64" max="66" width="4" bestFit="1" customWidth="1"/>
    <col min="67" max="67" width="3.5703125" bestFit="1" customWidth="1"/>
    <col min="68" max="69" width="4" bestFit="1" customWidth="1"/>
    <col min="70" max="70" width="3.5703125" bestFit="1" customWidth="1"/>
    <col min="71" max="71" width="4" bestFit="1" customWidth="1"/>
    <col min="72" max="72" width="5" bestFit="1" customWidth="1"/>
    <col min="73" max="74" width="4.5703125" bestFit="1" customWidth="1"/>
    <col min="75" max="75" width="4" bestFit="1" customWidth="1"/>
    <col min="76" max="76" width="5" bestFit="1" customWidth="1"/>
    <col min="77" max="77" width="5.5703125" bestFit="1" customWidth="1"/>
    <col min="78" max="79" width="5" bestFit="1" customWidth="1"/>
    <col min="80" max="80" width="4.5703125" bestFit="1" customWidth="1"/>
    <col min="81" max="81" width="4" bestFit="1" customWidth="1"/>
    <col min="82" max="82" width="3.28515625" bestFit="1" customWidth="1"/>
    <col min="83" max="83" width="3.140625" bestFit="1" customWidth="1"/>
    <col min="84" max="84" width="3" bestFit="1" customWidth="1"/>
    <col min="85" max="85" width="4.5703125" bestFit="1" customWidth="1"/>
    <col min="86" max="86" width="3.28515625" bestFit="1" customWidth="1"/>
    <col min="87" max="88" width="4" bestFit="1" customWidth="1"/>
    <col min="89" max="89" width="4.5703125" bestFit="1" customWidth="1"/>
    <col min="90" max="90" width="3.5703125" bestFit="1" customWidth="1"/>
    <col min="91" max="91" width="3" bestFit="1" customWidth="1"/>
    <col min="92" max="92" width="3.5703125" bestFit="1" customWidth="1"/>
    <col min="93" max="93" width="3.28515625" bestFit="1" customWidth="1"/>
    <col min="94" max="94" width="4.5703125" bestFit="1" customWidth="1"/>
    <col min="95" max="95" width="5" bestFit="1" customWidth="1"/>
    <col min="96" max="96" width="4.5703125" bestFit="1" customWidth="1"/>
    <col min="97" max="97" width="3.28515625" bestFit="1" customWidth="1"/>
    <col min="98" max="98" width="4.5703125" bestFit="1" customWidth="1"/>
    <col min="99" max="99" width="3.42578125" bestFit="1" customWidth="1"/>
    <col min="100" max="100" width="3" bestFit="1" customWidth="1"/>
    <col min="101" max="101" width="5" bestFit="1" customWidth="1"/>
    <col min="102" max="102" width="2.7109375" bestFit="1" customWidth="1"/>
    <col min="103" max="103" width="4.5703125" bestFit="1" customWidth="1"/>
    <col min="104" max="104" width="3" bestFit="1" customWidth="1"/>
    <col min="105" max="105" width="5" bestFit="1" customWidth="1"/>
    <col min="106" max="106" width="3.85546875" bestFit="1" customWidth="1"/>
    <col min="107" max="107" width="3.5703125" bestFit="1" customWidth="1"/>
    <col min="108" max="108" width="4.5703125" bestFit="1" customWidth="1"/>
    <col min="109" max="109" width="3" bestFit="1" customWidth="1"/>
    <col min="110" max="110" width="3.28515625" bestFit="1" customWidth="1"/>
    <col min="111" max="112" width="4.5703125" bestFit="1" customWidth="1"/>
    <col min="113" max="113" width="4" bestFit="1" customWidth="1"/>
    <col min="114" max="114" width="2.85546875" bestFit="1" customWidth="1"/>
    <col min="115" max="115" width="3.7109375" bestFit="1" customWidth="1"/>
    <col min="116" max="116" width="3.140625" bestFit="1" customWidth="1"/>
    <col min="117" max="117" width="5" bestFit="1" customWidth="1"/>
    <col min="118" max="118" width="3" bestFit="1" customWidth="1"/>
    <col min="119" max="119" width="4.5703125" bestFit="1" customWidth="1"/>
    <col min="120" max="120" width="3.140625" bestFit="1" customWidth="1"/>
    <col min="121" max="122" width="4" bestFit="1" customWidth="1"/>
    <col min="123" max="123" width="5" bestFit="1" customWidth="1"/>
    <col min="124" max="124" width="4.5703125" bestFit="1" customWidth="1"/>
    <col min="125" max="125" width="4" bestFit="1" customWidth="1"/>
    <col min="126" max="126" width="2.85546875" bestFit="1" customWidth="1"/>
    <col min="127" max="127" width="4.5703125" bestFit="1" customWidth="1"/>
    <col min="128" max="128" width="3.5703125" bestFit="1" customWidth="1"/>
    <col min="129" max="129" width="4" bestFit="1" customWidth="1"/>
    <col min="130" max="130" width="5" bestFit="1" customWidth="1"/>
    <col min="131" max="131" width="6.28515625" bestFit="1" customWidth="1"/>
    <col min="132" max="132" width="4.5703125" bestFit="1" customWidth="1"/>
    <col min="133" max="133" width="6.28515625" bestFit="1" customWidth="1"/>
    <col min="134" max="134" width="6.5703125" bestFit="1" customWidth="1"/>
    <col min="135" max="135" width="5" bestFit="1" customWidth="1"/>
    <col min="136" max="136" width="4.5703125" bestFit="1" customWidth="1"/>
    <col min="137" max="137" width="5.140625" bestFit="1" customWidth="1"/>
    <col min="138" max="138" width="5.28515625" bestFit="1" customWidth="1"/>
    <col min="139" max="139" width="5.85546875" bestFit="1" customWidth="1"/>
    <col min="140" max="140" width="5.5703125" bestFit="1" customWidth="1"/>
    <col min="141" max="142" width="5" bestFit="1" customWidth="1"/>
  </cols>
  <sheetData>
    <row r="1" spans="1:142" x14ac:dyDescent="0.25">
      <c r="A1" t="s">
        <v>171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12</v>
      </c>
      <c r="AE1" t="s">
        <v>13</v>
      </c>
      <c r="AF1" t="s">
        <v>14</v>
      </c>
      <c r="AG1" t="s">
        <v>15</v>
      </c>
      <c r="AH1" t="s">
        <v>16</v>
      </c>
      <c r="AI1" t="s">
        <v>17</v>
      </c>
      <c r="AJ1" t="s">
        <v>11</v>
      </c>
      <c r="AK1" t="s">
        <v>20</v>
      </c>
      <c r="AL1" t="s">
        <v>28</v>
      </c>
      <c r="AM1" t="s">
        <v>0</v>
      </c>
      <c r="AN1" t="s">
        <v>21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22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23</v>
      </c>
      <c r="BB1" t="s">
        <v>40</v>
      </c>
      <c r="BC1" t="s">
        <v>24</v>
      </c>
      <c r="BD1" t="s">
        <v>41</v>
      </c>
      <c r="BE1" t="s">
        <v>18</v>
      </c>
      <c r="BF1" t="s">
        <v>42</v>
      </c>
      <c r="BG1" t="s">
        <v>43</v>
      </c>
      <c r="BH1" t="s">
        <v>7</v>
      </c>
      <c r="BI1" t="s">
        <v>44</v>
      </c>
      <c r="BJ1" t="s">
        <v>45</v>
      </c>
      <c r="BK1" t="s">
        <v>25</v>
      </c>
      <c r="BL1" t="s">
        <v>9</v>
      </c>
      <c r="BM1" t="s">
        <v>46</v>
      </c>
      <c r="BN1" t="s">
        <v>47</v>
      </c>
      <c r="BO1" t="s">
        <v>48</v>
      </c>
      <c r="BP1" t="s">
        <v>49</v>
      </c>
      <c r="BQ1" t="s">
        <v>50</v>
      </c>
      <c r="BR1" t="s">
        <v>26</v>
      </c>
      <c r="BS1" t="s">
        <v>51</v>
      </c>
      <c r="BT1" t="s">
        <v>12</v>
      </c>
      <c r="BU1" t="s">
        <v>13</v>
      </c>
      <c r="BV1" t="s">
        <v>14</v>
      </c>
      <c r="BW1" t="s">
        <v>15</v>
      </c>
      <c r="BX1" t="s">
        <v>16</v>
      </c>
      <c r="BY1" t="s">
        <v>23</v>
      </c>
      <c r="BZ1" t="s">
        <v>18</v>
      </c>
      <c r="CA1" t="s">
        <v>11</v>
      </c>
      <c r="CB1" t="s">
        <v>19</v>
      </c>
      <c r="CC1" t="s">
        <v>20</v>
      </c>
      <c r="CD1" t="s">
        <v>28</v>
      </c>
      <c r="CE1" t="s">
        <v>0</v>
      </c>
      <c r="CF1" t="s">
        <v>52</v>
      </c>
      <c r="CG1" t="s">
        <v>21</v>
      </c>
      <c r="CH1" t="s">
        <v>29</v>
      </c>
      <c r="CI1" t="s">
        <v>30</v>
      </c>
      <c r="CJ1" t="s">
        <v>31</v>
      </c>
      <c r="CK1" t="s">
        <v>32</v>
      </c>
      <c r="CL1" t="s">
        <v>33</v>
      </c>
      <c r="CM1" t="s">
        <v>22</v>
      </c>
      <c r="CN1" t="s">
        <v>34</v>
      </c>
      <c r="CO1" t="s">
        <v>35</v>
      </c>
      <c r="CP1" t="s">
        <v>53</v>
      </c>
      <c r="CQ1" t="s">
        <v>54</v>
      </c>
      <c r="CR1" t="s">
        <v>55</v>
      </c>
      <c r="CS1" t="s">
        <v>36</v>
      </c>
      <c r="CT1" t="s">
        <v>56</v>
      </c>
      <c r="CU1" t="s">
        <v>57</v>
      </c>
      <c r="CV1" t="s">
        <v>58</v>
      </c>
      <c r="CW1" t="s">
        <v>59</v>
      </c>
      <c r="CX1" t="s">
        <v>37</v>
      </c>
      <c r="CY1" t="s">
        <v>38</v>
      </c>
      <c r="CZ1" t="s">
        <v>39</v>
      </c>
      <c r="DA1" t="s">
        <v>60</v>
      </c>
      <c r="DB1" t="s">
        <v>40</v>
      </c>
      <c r="DC1" t="s">
        <v>24</v>
      </c>
      <c r="DD1" t="s">
        <v>61</v>
      </c>
      <c r="DE1" t="s">
        <v>41</v>
      </c>
      <c r="DF1" t="s">
        <v>42</v>
      </c>
      <c r="DG1" t="s">
        <v>62</v>
      </c>
      <c r="DH1" t="s">
        <v>43</v>
      </c>
      <c r="DI1" t="s">
        <v>7</v>
      </c>
      <c r="DJ1" t="s">
        <v>44</v>
      </c>
      <c r="DK1" t="s">
        <v>63</v>
      </c>
      <c r="DL1" t="s">
        <v>45</v>
      </c>
      <c r="DM1" t="s">
        <v>25</v>
      </c>
      <c r="DN1" t="s">
        <v>64</v>
      </c>
      <c r="DO1" t="s">
        <v>65</v>
      </c>
      <c r="DP1" t="s">
        <v>9</v>
      </c>
      <c r="DQ1" t="s">
        <v>46</v>
      </c>
      <c r="DR1" t="s">
        <v>47</v>
      </c>
      <c r="DS1" t="s">
        <v>66</v>
      </c>
      <c r="DT1" t="s">
        <v>48</v>
      </c>
      <c r="DU1" t="s">
        <v>49</v>
      </c>
      <c r="DV1" t="s">
        <v>50</v>
      </c>
      <c r="DW1" t="s">
        <v>26</v>
      </c>
      <c r="DX1" t="s">
        <v>67</v>
      </c>
      <c r="DY1" t="s">
        <v>51</v>
      </c>
      <c r="DZ1" t="s">
        <v>27</v>
      </c>
      <c r="EA1" t="s">
        <v>68</v>
      </c>
      <c r="EB1" t="s">
        <v>69</v>
      </c>
      <c r="EC1" t="s">
        <v>70</v>
      </c>
      <c r="ED1" t="s">
        <v>71</v>
      </c>
      <c r="EE1" t="s">
        <v>72</v>
      </c>
      <c r="EF1" t="s">
        <v>73</v>
      </c>
      <c r="EG1" t="s">
        <v>74</v>
      </c>
      <c r="EH1" t="s">
        <v>75</v>
      </c>
      <c r="EI1" t="s">
        <v>76</v>
      </c>
      <c r="EJ1" t="s">
        <v>77</v>
      </c>
      <c r="EK1" t="s">
        <v>78</v>
      </c>
      <c r="EL1" t="s">
        <v>79</v>
      </c>
    </row>
    <row r="2" spans="1:142" x14ac:dyDescent="0.25">
      <c r="A2" s="3">
        <v>100</v>
      </c>
      <c r="B2">
        <v>14.6</v>
      </c>
      <c r="C2">
        <v>81</v>
      </c>
      <c r="D2">
        <v>24.4</v>
      </c>
      <c r="E2" s="1">
        <v>6.66</v>
      </c>
      <c r="F2" s="1">
        <v>1.4</v>
      </c>
      <c r="G2">
        <v>0.05</v>
      </c>
      <c r="H2" s="1">
        <v>4.6100000000000003</v>
      </c>
      <c r="I2" s="2">
        <v>3.3</v>
      </c>
      <c r="J2">
        <v>4.5999999999999996</v>
      </c>
      <c r="L2">
        <v>11.3</v>
      </c>
      <c r="M2" s="1">
        <v>1.67</v>
      </c>
      <c r="N2" s="1">
        <v>2.2400000000000002</v>
      </c>
      <c r="O2" s="1">
        <v>24.1</v>
      </c>
      <c r="P2" s="1">
        <v>1.04</v>
      </c>
      <c r="Q2" s="1">
        <v>0.3</v>
      </c>
      <c r="R2" s="1">
        <v>0.26</v>
      </c>
      <c r="S2" s="1">
        <v>0.03</v>
      </c>
      <c r="T2" s="1">
        <v>0.04</v>
      </c>
      <c r="U2" s="1">
        <v>11.6</v>
      </c>
      <c r="V2" s="1">
        <v>0.11</v>
      </c>
      <c r="W2">
        <v>74</v>
      </c>
      <c r="AA2">
        <v>1003</v>
      </c>
      <c r="AC2">
        <v>53</v>
      </c>
      <c r="AD2" s="1">
        <v>2.29</v>
      </c>
      <c r="AE2" s="1">
        <v>24.3</v>
      </c>
      <c r="AF2" s="1">
        <v>1.1100000000000001</v>
      </c>
      <c r="AG2" s="1">
        <v>0.28999999999999998</v>
      </c>
      <c r="AH2" s="1">
        <v>0.27</v>
      </c>
      <c r="AI2" s="1">
        <v>0.03</v>
      </c>
      <c r="AJ2" s="1">
        <v>1.81</v>
      </c>
      <c r="AK2" s="1">
        <v>0.1</v>
      </c>
      <c r="AM2">
        <v>15</v>
      </c>
      <c r="AN2">
        <v>71</v>
      </c>
      <c r="AO2">
        <v>0.8</v>
      </c>
      <c r="AP2">
        <v>0.24</v>
      </c>
      <c r="AQ2" s="2">
        <v>2</v>
      </c>
      <c r="AR2" s="2">
        <v>23.4</v>
      </c>
      <c r="AS2">
        <v>6.4</v>
      </c>
      <c r="AT2">
        <v>31</v>
      </c>
      <c r="AV2">
        <v>37.5</v>
      </c>
      <c r="AW2" s="2">
        <v>6</v>
      </c>
      <c r="AX2">
        <v>0.04</v>
      </c>
      <c r="AY2" s="2">
        <v>12.7</v>
      </c>
      <c r="AZ2">
        <v>29</v>
      </c>
      <c r="BA2">
        <v>93</v>
      </c>
      <c r="BB2" s="2">
        <v>50.8</v>
      </c>
      <c r="BC2">
        <v>5.7</v>
      </c>
      <c r="BD2" s="2">
        <v>86.9</v>
      </c>
      <c r="BE2">
        <v>463</v>
      </c>
      <c r="BF2">
        <v>5.7</v>
      </c>
      <c r="BG2" s="2">
        <v>16.399999999999999</v>
      </c>
      <c r="BH2">
        <v>3.34</v>
      </c>
      <c r="BI2">
        <v>3.8</v>
      </c>
      <c r="BJ2" s="2">
        <v>1</v>
      </c>
      <c r="BK2">
        <v>1133</v>
      </c>
      <c r="BL2">
        <v>0.1</v>
      </c>
      <c r="BM2">
        <v>2.5</v>
      </c>
      <c r="BN2">
        <v>2.6</v>
      </c>
      <c r="BO2" s="2">
        <v>8.4</v>
      </c>
      <c r="BP2">
        <v>353</v>
      </c>
      <c r="BQ2">
        <v>0.4</v>
      </c>
      <c r="BR2" s="2">
        <v>9</v>
      </c>
      <c r="BS2">
        <v>111</v>
      </c>
      <c r="BT2">
        <v>2.27</v>
      </c>
      <c r="BU2" s="2">
        <v>22.4</v>
      </c>
      <c r="BV2" s="1">
        <v>1.1000000000000001</v>
      </c>
      <c r="BW2">
        <v>0.4</v>
      </c>
      <c r="BX2">
        <v>0.24</v>
      </c>
      <c r="BY2" s="4">
        <v>8.9999999999999993E-3</v>
      </c>
      <c r="BZ2">
        <v>0.04</v>
      </c>
      <c r="CA2">
        <v>1.76</v>
      </c>
      <c r="CB2" s="2">
        <v>11.9</v>
      </c>
      <c r="CC2">
        <v>0.1</v>
      </c>
      <c r="CF2">
        <v>27</v>
      </c>
      <c r="CG2" s="2">
        <v>77.5</v>
      </c>
      <c r="CI2">
        <v>0.2</v>
      </c>
      <c r="CJ2">
        <v>1.9</v>
      </c>
      <c r="CK2" s="2">
        <v>24.2</v>
      </c>
      <c r="CL2" s="2">
        <v>6</v>
      </c>
      <c r="CM2">
        <v>30</v>
      </c>
      <c r="CN2" s="2">
        <v>3.1</v>
      </c>
      <c r="CO2">
        <v>39</v>
      </c>
      <c r="CP2" s="1">
        <v>1.58</v>
      </c>
      <c r="CQ2">
        <v>0.94</v>
      </c>
      <c r="CR2" s="1">
        <v>0.46</v>
      </c>
      <c r="CS2">
        <v>6</v>
      </c>
      <c r="CT2" s="1">
        <v>2.02</v>
      </c>
      <c r="CV2">
        <v>1</v>
      </c>
      <c r="CW2">
        <v>0.32</v>
      </c>
      <c r="CY2" s="2">
        <v>13.2</v>
      </c>
      <c r="CZ2">
        <v>25</v>
      </c>
      <c r="DA2">
        <v>0.15</v>
      </c>
      <c r="DB2">
        <v>51</v>
      </c>
      <c r="DC2">
        <v>6</v>
      </c>
      <c r="DD2" s="2">
        <v>10.8</v>
      </c>
      <c r="DE2">
        <v>79</v>
      </c>
      <c r="DF2">
        <v>7</v>
      </c>
      <c r="DG2" s="1">
        <v>3.05</v>
      </c>
      <c r="DH2" s="2">
        <v>17.600000000000001</v>
      </c>
      <c r="DI2">
        <v>3.6</v>
      </c>
      <c r="DK2" s="2">
        <v>2</v>
      </c>
      <c r="DL2">
        <v>3</v>
      </c>
      <c r="DM2">
        <v>1035</v>
      </c>
      <c r="DO2" s="1">
        <v>0.31</v>
      </c>
      <c r="DQ2">
        <v>2.9</v>
      </c>
      <c r="DR2">
        <v>3.1</v>
      </c>
      <c r="DS2">
        <v>0.15</v>
      </c>
      <c r="DT2" s="1">
        <v>9.4600000000000009</v>
      </c>
      <c r="DU2">
        <v>412</v>
      </c>
      <c r="DW2" s="2">
        <v>9.6</v>
      </c>
      <c r="DX2" s="2">
        <v>0.9</v>
      </c>
      <c r="DY2">
        <v>104</v>
      </c>
      <c r="DZ2">
        <v>52.9</v>
      </c>
      <c r="EA2" s="1">
        <v>3.89</v>
      </c>
      <c r="EB2" s="2">
        <v>33</v>
      </c>
      <c r="EC2">
        <v>0.01</v>
      </c>
      <c r="ED2" s="1">
        <v>1.63</v>
      </c>
      <c r="EE2">
        <v>0.33</v>
      </c>
      <c r="EF2" s="2">
        <v>32</v>
      </c>
      <c r="EG2" s="1">
        <v>0.35</v>
      </c>
      <c r="EI2">
        <v>0.05</v>
      </c>
      <c r="EJ2" s="1">
        <v>0.1</v>
      </c>
      <c r="EK2" s="2">
        <v>25.1</v>
      </c>
      <c r="EL2">
        <v>0.17</v>
      </c>
    </row>
    <row r="3" spans="1:142" x14ac:dyDescent="0.25">
      <c r="A3" s="3">
        <v>1000</v>
      </c>
      <c r="B3">
        <v>14.2</v>
      </c>
      <c r="C3">
        <v>84</v>
      </c>
      <c r="D3">
        <v>24.3</v>
      </c>
      <c r="E3" s="1">
        <v>6.63</v>
      </c>
      <c r="F3" s="1">
        <v>1.4</v>
      </c>
      <c r="G3">
        <v>0.04</v>
      </c>
      <c r="H3" s="1">
        <v>4.49</v>
      </c>
      <c r="I3" s="2">
        <v>3.2</v>
      </c>
      <c r="J3">
        <v>4.9000000000000004</v>
      </c>
      <c r="L3">
        <v>11.2</v>
      </c>
      <c r="M3" s="1">
        <v>1.61</v>
      </c>
      <c r="N3" s="1">
        <v>2.25</v>
      </c>
      <c r="O3" s="1">
        <v>24.1</v>
      </c>
      <c r="P3" s="1">
        <v>1.06</v>
      </c>
      <c r="Q3" s="1">
        <v>0.3</v>
      </c>
      <c r="R3" s="1">
        <v>0.25</v>
      </c>
      <c r="S3" s="1">
        <v>0.03</v>
      </c>
      <c r="T3" s="1">
        <v>0.04</v>
      </c>
      <c r="U3" s="1">
        <v>11.7</v>
      </c>
      <c r="V3" s="1">
        <v>0.11</v>
      </c>
      <c r="W3">
        <v>69</v>
      </c>
      <c r="AA3">
        <v>1009</v>
      </c>
      <c r="AC3">
        <v>58</v>
      </c>
      <c r="AD3" s="1">
        <v>2.25</v>
      </c>
      <c r="AE3" s="1">
        <v>23.8</v>
      </c>
      <c r="AF3" s="1">
        <v>1.0900000000000001</v>
      </c>
      <c r="AG3" s="1">
        <v>0.28999999999999998</v>
      </c>
      <c r="AH3" s="1">
        <v>0.26</v>
      </c>
      <c r="AI3" s="1">
        <v>0.03</v>
      </c>
      <c r="AJ3" s="1">
        <v>1.77</v>
      </c>
      <c r="AK3" s="1">
        <v>0.09</v>
      </c>
      <c r="AM3">
        <v>15</v>
      </c>
      <c r="AN3">
        <v>70</v>
      </c>
      <c r="AO3">
        <v>0.7</v>
      </c>
      <c r="AP3">
        <v>0.24</v>
      </c>
      <c r="AQ3" s="2">
        <v>2</v>
      </c>
      <c r="AR3" s="2">
        <v>23.7</v>
      </c>
      <c r="AS3">
        <v>5.9</v>
      </c>
      <c r="AT3">
        <v>30</v>
      </c>
      <c r="AV3">
        <v>37.1</v>
      </c>
      <c r="AW3" s="2">
        <v>5.7</v>
      </c>
      <c r="AX3">
        <v>0.03</v>
      </c>
      <c r="AY3" s="2">
        <v>12.7</v>
      </c>
      <c r="AZ3">
        <v>28</v>
      </c>
      <c r="BA3">
        <v>91</v>
      </c>
      <c r="BB3" s="2">
        <v>49.8</v>
      </c>
      <c r="BC3">
        <v>5.5</v>
      </c>
      <c r="BD3" s="2">
        <v>79.900000000000006</v>
      </c>
      <c r="BE3">
        <v>460</v>
      </c>
      <c r="BF3">
        <v>5.5</v>
      </c>
      <c r="BG3" s="2">
        <v>15.9</v>
      </c>
      <c r="BH3">
        <v>3.21</v>
      </c>
      <c r="BI3">
        <v>3.4</v>
      </c>
      <c r="BJ3" s="2">
        <v>1</v>
      </c>
      <c r="BK3">
        <v>1102</v>
      </c>
      <c r="BL3">
        <v>0.1</v>
      </c>
      <c r="BM3">
        <v>2.6</v>
      </c>
      <c r="BN3">
        <v>2.7</v>
      </c>
      <c r="BO3" s="2">
        <v>8.4</v>
      </c>
      <c r="BP3">
        <v>339</v>
      </c>
      <c r="BQ3">
        <v>0.4</v>
      </c>
      <c r="BR3" s="2">
        <v>8.8000000000000007</v>
      </c>
      <c r="BS3">
        <v>102</v>
      </c>
      <c r="BT3">
        <v>2.2200000000000002</v>
      </c>
      <c r="BU3" s="2">
        <v>22.6</v>
      </c>
      <c r="BV3" s="1">
        <v>1.1100000000000001</v>
      </c>
      <c r="BW3">
        <v>0.3</v>
      </c>
      <c r="BX3">
        <v>0.24</v>
      </c>
      <c r="BY3" s="4">
        <v>8.9999999999999993E-3</v>
      </c>
      <c r="BZ3">
        <v>0.04</v>
      </c>
      <c r="CA3">
        <v>1.73</v>
      </c>
      <c r="CB3" s="2">
        <v>11.8</v>
      </c>
      <c r="CC3">
        <v>0.1</v>
      </c>
      <c r="CF3">
        <v>25</v>
      </c>
      <c r="CG3" s="2">
        <v>76.599999999999994</v>
      </c>
      <c r="CI3">
        <v>0.3</v>
      </c>
      <c r="CJ3">
        <v>2.2999999999999998</v>
      </c>
      <c r="CK3" s="2">
        <v>24.1</v>
      </c>
      <c r="CL3" s="2">
        <v>6.1</v>
      </c>
      <c r="CM3">
        <v>31</v>
      </c>
      <c r="CN3" s="2">
        <v>3.1</v>
      </c>
      <c r="CO3">
        <v>38</v>
      </c>
      <c r="CP3" s="1">
        <v>1.64</v>
      </c>
      <c r="CQ3">
        <v>0.96</v>
      </c>
      <c r="CR3" s="1">
        <v>0.51</v>
      </c>
      <c r="CS3">
        <v>6</v>
      </c>
      <c r="CT3" s="1">
        <v>1.95</v>
      </c>
      <c r="CV3">
        <v>1</v>
      </c>
      <c r="CW3">
        <v>0.33</v>
      </c>
      <c r="CY3" s="2">
        <v>13.2</v>
      </c>
      <c r="CZ3">
        <v>24</v>
      </c>
      <c r="DA3">
        <v>0.15</v>
      </c>
      <c r="DB3">
        <v>51</v>
      </c>
      <c r="DC3">
        <v>6</v>
      </c>
      <c r="DD3" s="2">
        <v>10.6</v>
      </c>
      <c r="DE3">
        <v>79</v>
      </c>
      <c r="DF3">
        <v>7</v>
      </c>
      <c r="DG3" s="1">
        <v>3.03</v>
      </c>
      <c r="DH3" s="2">
        <v>17.2</v>
      </c>
      <c r="DI3">
        <v>3.4</v>
      </c>
      <c r="DK3" s="2">
        <v>2.1</v>
      </c>
      <c r="DL3">
        <v>4</v>
      </c>
      <c r="DM3">
        <v>1049</v>
      </c>
      <c r="DO3" s="1">
        <v>0.3</v>
      </c>
      <c r="DQ3">
        <v>2.9</v>
      </c>
      <c r="DR3">
        <v>3.1</v>
      </c>
      <c r="DS3">
        <v>0.15</v>
      </c>
      <c r="DT3" s="1">
        <v>9.44</v>
      </c>
      <c r="DU3">
        <v>408</v>
      </c>
      <c r="DW3" s="2">
        <v>9.6</v>
      </c>
      <c r="DX3" s="2">
        <v>0.9</v>
      </c>
      <c r="DY3">
        <v>105</v>
      </c>
      <c r="DZ3">
        <v>53</v>
      </c>
      <c r="EA3" s="1">
        <v>3.93</v>
      </c>
      <c r="EB3" s="2">
        <v>33</v>
      </c>
      <c r="ED3" s="1">
        <v>1.62</v>
      </c>
      <c r="EE3">
        <v>0.33</v>
      </c>
      <c r="EF3" s="2">
        <v>31.9</v>
      </c>
      <c r="EG3" s="1">
        <v>0.36</v>
      </c>
      <c r="EI3">
        <v>0.05</v>
      </c>
      <c r="EJ3" s="1">
        <v>0.1</v>
      </c>
      <c r="EK3" s="2">
        <v>24.8</v>
      </c>
      <c r="EL3">
        <v>0.17</v>
      </c>
    </row>
    <row r="4" spans="1:142" x14ac:dyDescent="0.25">
      <c r="A4" s="3">
        <v>700</v>
      </c>
      <c r="B4">
        <v>14.7</v>
      </c>
      <c r="C4">
        <v>95</v>
      </c>
      <c r="D4">
        <v>24.7</v>
      </c>
      <c r="E4" s="1">
        <v>6.74</v>
      </c>
      <c r="F4" s="1">
        <v>1.35</v>
      </c>
      <c r="G4">
        <v>0.04</v>
      </c>
      <c r="H4" s="1">
        <v>4.72</v>
      </c>
      <c r="I4" s="2">
        <v>3.2</v>
      </c>
      <c r="J4">
        <v>5.0999999999999996</v>
      </c>
      <c r="L4">
        <v>11.3</v>
      </c>
      <c r="M4" s="1">
        <v>1.65</v>
      </c>
      <c r="N4" s="1">
        <v>2.2599999999999998</v>
      </c>
      <c r="O4" s="1">
        <v>23.9</v>
      </c>
      <c r="P4" s="1">
        <v>1.05</v>
      </c>
      <c r="Q4" s="1">
        <v>0.3</v>
      </c>
      <c r="R4" s="1">
        <v>0.25</v>
      </c>
      <c r="S4" s="1">
        <v>0.03</v>
      </c>
      <c r="T4" s="1">
        <v>0.04</v>
      </c>
      <c r="U4" s="1">
        <v>11.8</v>
      </c>
      <c r="V4" s="1">
        <v>0.11</v>
      </c>
      <c r="W4">
        <v>74</v>
      </c>
      <c r="AA4">
        <v>994</v>
      </c>
      <c r="AC4">
        <v>53</v>
      </c>
      <c r="AD4" s="1">
        <v>2.23</v>
      </c>
      <c r="AE4" s="1">
        <v>23.5</v>
      </c>
      <c r="AF4" s="1">
        <v>1.0900000000000001</v>
      </c>
      <c r="AG4" s="1">
        <v>0.28000000000000003</v>
      </c>
      <c r="AH4" s="1">
        <v>0.26</v>
      </c>
      <c r="AI4" s="1">
        <v>0.04</v>
      </c>
      <c r="AJ4" s="1">
        <v>1.78</v>
      </c>
      <c r="AK4" s="1">
        <v>0.09</v>
      </c>
      <c r="AM4">
        <v>15</v>
      </c>
      <c r="AN4">
        <v>70</v>
      </c>
      <c r="AO4">
        <v>0.6</v>
      </c>
      <c r="AP4">
        <v>0.24</v>
      </c>
      <c r="AQ4" s="2">
        <v>2.1</v>
      </c>
      <c r="AR4" s="2">
        <v>24.3</v>
      </c>
      <c r="AS4">
        <v>5.9</v>
      </c>
      <c r="AT4">
        <v>31</v>
      </c>
      <c r="AV4">
        <v>35.9</v>
      </c>
      <c r="AW4" s="2">
        <v>5.59</v>
      </c>
      <c r="AX4">
        <v>0.04</v>
      </c>
      <c r="AY4" s="2">
        <v>13.1</v>
      </c>
      <c r="AZ4">
        <v>28</v>
      </c>
      <c r="BA4">
        <v>91</v>
      </c>
      <c r="BB4" s="2">
        <v>49.8</v>
      </c>
      <c r="BC4">
        <v>5.6</v>
      </c>
      <c r="BD4" s="2">
        <v>81.5</v>
      </c>
      <c r="BE4">
        <v>466</v>
      </c>
      <c r="BF4">
        <v>5.8</v>
      </c>
      <c r="BG4" s="2">
        <v>15.9</v>
      </c>
      <c r="BH4">
        <v>3.19</v>
      </c>
      <c r="BI4">
        <v>3.4</v>
      </c>
      <c r="BJ4" s="2">
        <v>1</v>
      </c>
      <c r="BK4">
        <v>1099</v>
      </c>
      <c r="BL4">
        <v>0.1</v>
      </c>
      <c r="BM4">
        <v>2.7</v>
      </c>
      <c r="BN4">
        <v>2.7</v>
      </c>
      <c r="BO4" s="2">
        <v>8.6999999999999993</v>
      </c>
      <c r="BP4">
        <v>342</v>
      </c>
      <c r="BQ4">
        <v>0.4</v>
      </c>
      <c r="BR4" s="2">
        <v>8.6999999999999993</v>
      </c>
      <c r="BS4">
        <v>105</v>
      </c>
      <c r="BT4">
        <v>2.2799999999999998</v>
      </c>
      <c r="BU4" s="2">
        <v>22.8</v>
      </c>
      <c r="BV4" s="1">
        <v>1.1100000000000001</v>
      </c>
      <c r="BW4">
        <v>0.3</v>
      </c>
      <c r="BX4">
        <v>0.24</v>
      </c>
      <c r="BY4" s="4">
        <v>8.9999999999999993E-3</v>
      </c>
      <c r="BZ4">
        <v>0.04</v>
      </c>
      <c r="CA4">
        <v>1.76</v>
      </c>
      <c r="CB4" s="2">
        <v>12</v>
      </c>
      <c r="CC4">
        <v>0.1</v>
      </c>
      <c r="CF4">
        <v>28</v>
      </c>
      <c r="CG4" s="2">
        <v>79.599999999999994</v>
      </c>
      <c r="CI4">
        <v>0.2</v>
      </c>
      <c r="CJ4">
        <v>2.2000000000000002</v>
      </c>
      <c r="CK4" s="2">
        <v>23.6</v>
      </c>
      <c r="CL4" s="2">
        <v>6</v>
      </c>
      <c r="CM4">
        <v>32</v>
      </c>
      <c r="CN4" s="2">
        <v>3.3</v>
      </c>
      <c r="CO4">
        <v>38</v>
      </c>
      <c r="CP4" s="1">
        <v>1.5</v>
      </c>
      <c r="CQ4">
        <v>0.92</v>
      </c>
      <c r="CR4" s="1">
        <v>0.48</v>
      </c>
      <c r="CS4">
        <v>7</v>
      </c>
      <c r="CT4" s="1">
        <v>2.02</v>
      </c>
      <c r="CV4">
        <v>1</v>
      </c>
      <c r="CW4">
        <v>0.32</v>
      </c>
      <c r="CY4" s="2">
        <v>13</v>
      </c>
      <c r="CZ4">
        <v>25</v>
      </c>
      <c r="DA4">
        <v>0.16</v>
      </c>
      <c r="DB4">
        <v>52</v>
      </c>
      <c r="DC4">
        <v>5</v>
      </c>
      <c r="DD4" s="2">
        <v>10.8</v>
      </c>
      <c r="DE4">
        <v>81</v>
      </c>
      <c r="DF4">
        <v>7</v>
      </c>
      <c r="DG4" s="1">
        <v>3.08</v>
      </c>
      <c r="DH4" s="2">
        <v>17.600000000000001</v>
      </c>
      <c r="DI4">
        <v>3.4</v>
      </c>
      <c r="DK4" s="2">
        <v>2.1</v>
      </c>
      <c r="DL4">
        <v>4</v>
      </c>
      <c r="DM4">
        <v>1047</v>
      </c>
      <c r="DO4" s="1">
        <v>0.31</v>
      </c>
      <c r="DQ4">
        <v>2.8</v>
      </c>
      <c r="DR4">
        <v>3.2</v>
      </c>
      <c r="DS4">
        <v>0.15</v>
      </c>
      <c r="DT4" s="1">
        <v>9.42</v>
      </c>
      <c r="DU4">
        <v>410</v>
      </c>
      <c r="DW4" s="2">
        <v>9.6999999999999993</v>
      </c>
      <c r="DX4" s="2">
        <v>0.9</v>
      </c>
      <c r="DY4">
        <v>109</v>
      </c>
      <c r="DZ4">
        <v>51.9</v>
      </c>
      <c r="EA4" s="1">
        <v>3.9</v>
      </c>
      <c r="EB4" s="2">
        <v>32.9</v>
      </c>
      <c r="ED4" s="1">
        <v>1.64</v>
      </c>
      <c r="EE4">
        <v>0.33</v>
      </c>
      <c r="EF4" s="2">
        <v>31.9</v>
      </c>
      <c r="EG4" s="1">
        <v>0.4</v>
      </c>
      <c r="EI4">
        <v>0.05</v>
      </c>
      <c r="EJ4" s="1">
        <v>0.1</v>
      </c>
      <c r="EK4" s="2">
        <v>24.8</v>
      </c>
      <c r="EL4">
        <v>0.17</v>
      </c>
    </row>
    <row r="5" spans="1:142" x14ac:dyDescent="0.25">
      <c r="A5" s="3">
        <v>1300</v>
      </c>
      <c r="B5">
        <v>14.3</v>
      </c>
      <c r="C5">
        <v>88</v>
      </c>
      <c r="D5">
        <v>24.7</v>
      </c>
      <c r="E5" s="1">
        <v>6.74</v>
      </c>
      <c r="F5" s="1">
        <v>1.35</v>
      </c>
      <c r="G5">
        <v>0.04</v>
      </c>
      <c r="H5" s="1">
        <v>4.51</v>
      </c>
      <c r="I5" s="2">
        <v>3</v>
      </c>
      <c r="J5">
        <v>5.0999999999999996</v>
      </c>
      <c r="L5">
        <v>11.2</v>
      </c>
      <c r="M5" s="1">
        <v>1.64</v>
      </c>
      <c r="N5" s="1">
        <v>2.2999999999999998</v>
      </c>
      <c r="O5" s="1">
        <v>24.3</v>
      </c>
      <c r="P5" s="1">
        <v>1.05</v>
      </c>
      <c r="Q5" s="1">
        <v>0.31</v>
      </c>
      <c r="R5" s="1">
        <v>0.25</v>
      </c>
      <c r="S5" s="1">
        <v>0.03</v>
      </c>
      <c r="T5" s="1">
        <v>0.04</v>
      </c>
      <c r="U5" s="1">
        <v>12</v>
      </c>
      <c r="V5" s="1">
        <v>0.11</v>
      </c>
      <c r="W5">
        <v>76</v>
      </c>
      <c r="AA5">
        <v>1005</v>
      </c>
      <c r="AC5">
        <v>53</v>
      </c>
      <c r="AD5" s="1">
        <v>2.19</v>
      </c>
      <c r="AE5" s="1">
        <v>22.6</v>
      </c>
      <c r="AF5" s="1">
        <v>1.06</v>
      </c>
      <c r="AG5" s="1">
        <v>0.28000000000000003</v>
      </c>
      <c r="AH5" s="1">
        <v>0.26</v>
      </c>
      <c r="AI5" s="1">
        <v>0.03</v>
      </c>
      <c r="AJ5" s="1">
        <v>1.7</v>
      </c>
      <c r="AK5" s="1">
        <v>0.09</v>
      </c>
      <c r="AM5">
        <v>15</v>
      </c>
      <c r="AN5">
        <v>67</v>
      </c>
      <c r="AO5">
        <v>0.7</v>
      </c>
      <c r="AP5">
        <v>0.24</v>
      </c>
      <c r="AQ5" s="2">
        <v>2.1</v>
      </c>
      <c r="AR5" s="2">
        <v>23.5</v>
      </c>
      <c r="AS5">
        <v>5.8</v>
      </c>
      <c r="AT5">
        <v>31</v>
      </c>
      <c r="AV5">
        <v>38.6</v>
      </c>
      <c r="AW5" s="2">
        <v>5.6</v>
      </c>
      <c r="AX5">
        <v>0.04</v>
      </c>
      <c r="AY5" s="2">
        <v>12.6</v>
      </c>
      <c r="AZ5">
        <v>28</v>
      </c>
      <c r="BA5">
        <v>89</v>
      </c>
      <c r="BB5" s="2">
        <v>49.5</v>
      </c>
      <c r="BC5">
        <v>5.3</v>
      </c>
      <c r="BD5" s="2">
        <v>80.8</v>
      </c>
      <c r="BE5">
        <v>441</v>
      </c>
      <c r="BF5">
        <v>5.4</v>
      </c>
      <c r="BG5" s="2">
        <v>15.9</v>
      </c>
      <c r="BH5">
        <v>3.15</v>
      </c>
      <c r="BI5">
        <v>3.2</v>
      </c>
      <c r="BJ5" s="2">
        <v>1</v>
      </c>
      <c r="BK5">
        <v>1041</v>
      </c>
      <c r="BM5">
        <v>2.6</v>
      </c>
      <c r="BN5">
        <v>2.6</v>
      </c>
      <c r="BO5" s="2">
        <v>8.4</v>
      </c>
      <c r="BP5">
        <v>334</v>
      </c>
      <c r="BQ5">
        <v>0.4</v>
      </c>
      <c r="BR5" s="2">
        <v>8.5</v>
      </c>
      <c r="BS5">
        <v>104</v>
      </c>
      <c r="BT5">
        <v>2.21</v>
      </c>
      <c r="BU5" s="2">
        <v>23</v>
      </c>
      <c r="BV5" s="1">
        <v>1.1200000000000001</v>
      </c>
      <c r="BW5">
        <v>0.3</v>
      </c>
      <c r="BX5">
        <v>0.24</v>
      </c>
      <c r="BY5" s="4">
        <v>8.9999999999999993E-3</v>
      </c>
      <c r="BZ5">
        <v>0.04</v>
      </c>
      <c r="CA5">
        <v>1.75</v>
      </c>
      <c r="CB5" s="2">
        <v>12</v>
      </c>
      <c r="CC5">
        <v>0.1</v>
      </c>
      <c r="CF5">
        <v>29</v>
      </c>
      <c r="CG5" s="2">
        <v>76.5</v>
      </c>
      <c r="CI5">
        <v>0.2</v>
      </c>
      <c r="CJ5">
        <v>2.2000000000000002</v>
      </c>
      <c r="CK5" s="2">
        <v>24</v>
      </c>
      <c r="CL5" s="2">
        <v>6.2</v>
      </c>
      <c r="CM5">
        <v>29</v>
      </c>
      <c r="CN5" s="2">
        <v>3</v>
      </c>
      <c r="CO5">
        <v>38</v>
      </c>
      <c r="CP5" s="1">
        <v>1.62</v>
      </c>
      <c r="CQ5">
        <v>0.91</v>
      </c>
      <c r="CR5" s="1">
        <v>0.47</v>
      </c>
      <c r="CS5">
        <v>7</v>
      </c>
      <c r="CT5" s="1">
        <v>2.04</v>
      </c>
      <c r="CV5">
        <v>1</v>
      </c>
      <c r="CW5">
        <v>0.32</v>
      </c>
      <c r="CY5" s="2">
        <v>13</v>
      </c>
      <c r="CZ5">
        <v>25</v>
      </c>
      <c r="DA5">
        <v>0.16</v>
      </c>
      <c r="DB5">
        <v>52</v>
      </c>
      <c r="DC5">
        <v>6</v>
      </c>
      <c r="DD5" s="2">
        <v>10.7</v>
      </c>
      <c r="DE5">
        <v>80</v>
      </c>
      <c r="DF5">
        <v>7</v>
      </c>
      <c r="DG5" s="1">
        <v>3.06</v>
      </c>
      <c r="DH5" s="2">
        <v>17.100000000000001</v>
      </c>
      <c r="DI5">
        <v>3.5</v>
      </c>
      <c r="DK5" s="2">
        <v>2.1</v>
      </c>
      <c r="DL5">
        <v>4</v>
      </c>
      <c r="DM5">
        <v>1067</v>
      </c>
      <c r="DO5" s="1">
        <v>0.27</v>
      </c>
      <c r="DQ5">
        <v>2.8</v>
      </c>
      <c r="DR5">
        <v>3.1</v>
      </c>
      <c r="DS5">
        <v>0.16</v>
      </c>
      <c r="DT5" s="1">
        <v>9.48</v>
      </c>
      <c r="DU5">
        <v>412</v>
      </c>
      <c r="DW5" s="2">
        <v>9.6999999999999993</v>
      </c>
      <c r="DX5" s="2">
        <v>0.9</v>
      </c>
      <c r="DY5">
        <v>106</v>
      </c>
      <c r="DZ5">
        <v>52.7</v>
      </c>
      <c r="EA5" s="1">
        <v>3.93</v>
      </c>
      <c r="EB5" s="2">
        <v>32.9</v>
      </c>
      <c r="EC5">
        <v>0.01</v>
      </c>
      <c r="ED5" s="1">
        <v>1.62</v>
      </c>
      <c r="EE5">
        <v>0.33</v>
      </c>
      <c r="EF5" s="2">
        <v>32</v>
      </c>
      <c r="EG5" s="1">
        <v>0.41</v>
      </c>
      <c r="EI5">
        <v>0.04</v>
      </c>
      <c r="EJ5" s="1">
        <v>0.1</v>
      </c>
      <c r="EK5" s="2">
        <v>24.9</v>
      </c>
      <c r="EL5">
        <v>0.17</v>
      </c>
    </row>
    <row r="6" spans="1:142" x14ac:dyDescent="0.25">
      <c r="A6" s="3">
        <v>900</v>
      </c>
      <c r="B6">
        <v>14.5</v>
      </c>
      <c r="C6">
        <v>94</v>
      </c>
      <c r="D6">
        <v>24.2</v>
      </c>
      <c r="E6" s="1">
        <v>6.6</v>
      </c>
      <c r="F6" s="1">
        <v>1.36</v>
      </c>
      <c r="G6">
        <v>0.05</v>
      </c>
      <c r="H6" s="1">
        <v>4.6100000000000003</v>
      </c>
      <c r="I6" s="2">
        <v>3</v>
      </c>
      <c r="J6">
        <v>5.0999999999999996</v>
      </c>
      <c r="L6">
        <v>11.3</v>
      </c>
      <c r="M6" s="1">
        <v>1.64</v>
      </c>
      <c r="N6" s="1">
        <v>2.1800000000000002</v>
      </c>
      <c r="O6" s="1">
        <v>23.5</v>
      </c>
      <c r="P6" s="1">
        <v>1.01</v>
      </c>
      <c r="Q6" s="1">
        <v>0.3</v>
      </c>
      <c r="R6" s="1">
        <v>0.25</v>
      </c>
      <c r="S6" s="1">
        <v>0.03</v>
      </c>
      <c r="T6" s="1">
        <v>0.04</v>
      </c>
      <c r="U6" s="1">
        <v>11.5</v>
      </c>
      <c r="V6" s="1">
        <v>0.11</v>
      </c>
      <c r="W6">
        <v>69</v>
      </c>
      <c r="AA6">
        <v>965</v>
      </c>
      <c r="AC6">
        <v>54</v>
      </c>
      <c r="AD6" s="1">
        <v>2.13</v>
      </c>
      <c r="AE6" s="1">
        <v>22.9</v>
      </c>
      <c r="AF6" s="1">
        <v>1.03</v>
      </c>
      <c r="AG6" s="1">
        <v>0.28000000000000003</v>
      </c>
      <c r="AH6" s="1">
        <v>0.25</v>
      </c>
      <c r="AI6" s="1">
        <v>0.03</v>
      </c>
      <c r="AJ6" s="1">
        <v>1.62</v>
      </c>
      <c r="AK6" s="1">
        <v>0.09</v>
      </c>
      <c r="AM6">
        <v>15</v>
      </c>
      <c r="AN6">
        <v>67</v>
      </c>
      <c r="AO6">
        <v>0.6</v>
      </c>
      <c r="AP6">
        <v>0.23</v>
      </c>
      <c r="AQ6" s="2">
        <v>2.1</v>
      </c>
      <c r="AR6" s="2">
        <v>23.7</v>
      </c>
      <c r="AS6">
        <v>5.8</v>
      </c>
      <c r="AT6">
        <v>31</v>
      </c>
      <c r="AV6">
        <v>36.799999999999997</v>
      </c>
      <c r="AW6" s="2">
        <v>5.55</v>
      </c>
      <c r="AX6">
        <v>0.04</v>
      </c>
      <c r="AY6" s="2">
        <v>12.8</v>
      </c>
      <c r="AZ6">
        <v>27</v>
      </c>
      <c r="BA6">
        <v>88</v>
      </c>
      <c r="BB6" s="2">
        <v>49.7</v>
      </c>
      <c r="BC6">
        <v>5.4</v>
      </c>
      <c r="BD6" s="2">
        <v>79.7</v>
      </c>
      <c r="BE6">
        <v>419</v>
      </c>
      <c r="BF6">
        <v>5.5</v>
      </c>
      <c r="BG6" s="2">
        <v>16</v>
      </c>
      <c r="BH6">
        <v>3.24</v>
      </c>
      <c r="BI6">
        <v>3.3</v>
      </c>
      <c r="BJ6" s="2">
        <v>1</v>
      </c>
      <c r="BK6">
        <v>1047</v>
      </c>
      <c r="BM6">
        <v>2.6</v>
      </c>
      <c r="BN6">
        <v>2.7</v>
      </c>
      <c r="BO6" s="2">
        <v>8.8000000000000007</v>
      </c>
      <c r="BP6">
        <v>322</v>
      </c>
      <c r="BQ6">
        <v>0.4</v>
      </c>
      <c r="BR6" s="2">
        <v>8.8000000000000007</v>
      </c>
      <c r="BS6">
        <v>99</v>
      </c>
      <c r="BT6">
        <v>2.25</v>
      </c>
      <c r="BU6" s="2">
        <v>23.4</v>
      </c>
      <c r="BV6" s="1">
        <v>1.1100000000000001</v>
      </c>
      <c r="BW6">
        <v>0.3</v>
      </c>
      <c r="BX6">
        <v>0.25</v>
      </c>
      <c r="BY6" s="4">
        <v>8.9999999999999993E-3</v>
      </c>
      <c r="BZ6">
        <v>0.04</v>
      </c>
      <c r="CA6">
        <v>1.73</v>
      </c>
      <c r="CB6" s="2">
        <v>12</v>
      </c>
      <c r="CC6">
        <v>0.1</v>
      </c>
      <c r="CF6">
        <v>25</v>
      </c>
      <c r="CG6" s="2">
        <v>77.3</v>
      </c>
      <c r="CI6">
        <v>0.2</v>
      </c>
      <c r="CJ6">
        <v>2.2000000000000002</v>
      </c>
      <c r="CK6" s="2">
        <v>23.8</v>
      </c>
      <c r="CL6" s="2">
        <v>5.9</v>
      </c>
      <c r="CM6">
        <v>28</v>
      </c>
      <c r="CN6" s="2">
        <v>3.1</v>
      </c>
      <c r="CO6">
        <v>39</v>
      </c>
      <c r="CP6" s="1">
        <v>1.61</v>
      </c>
      <c r="CQ6">
        <v>0.92</v>
      </c>
      <c r="CR6" s="1">
        <v>0.46</v>
      </c>
      <c r="CS6">
        <v>7</v>
      </c>
      <c r="CT6" s="1">
        <v>1.92</v>
      </c>
      <c r="CV6">
        <v>1</v>
      </c>
      <c r="CW6">
        <v>0.32</v>
      </c>
      <c r="CY6" s="2">
        <v>13.3</v>
      </c>
      <c r="CZ6">
        <v>24</v>
      </c>
      <c r="DA6">
        <v>0.16</v>
      </c>
      <c r="DB6">
        <v>52</v>
      </c>
      <c r="DC6">
        <v>6</v>
      </c>
      <c r="DD6" s="2">
        <v>10.7</v>
      </c>
      <c r="DE6">
        <v>78</v>
      </c>
      <c r="DF6">
        <v>7</v>
      </c>
      <c r="DG6" s="1">
        <v>2.95</v>
      </c>
      <c r="DH6" s="2">
        <v>17.3</v>
      </c>
      <c r="DI6">
        <v>3.5</v>
      </c>
      <c r="DK6" s="2">
        <v>2</v>
      </c>
      <c r="DL6">
        <v>4</v>
      </c>
      <c r="DM6">
        <v>1068</v>
      </c>
      <c r="DO6" s="1">
        <v>0.28000000000000003</v>
      </c>
      <c r="DQ6">
        <v>2.9</v>
      </c>
      <c r="DR6">
        <v>3.1</v>
      </c>
      <c r="DS6">
        <v>0.17</v>
      </c>
      <c r="DT6" s="1">
        <v>9.49</v>
      </c>
      <c r="DU6">
        <v>414</v>
      </c>
      <c r="DW6" s="2">
        <v>10</v>
      </c>
      <c r="DX6" s="2">
        <v>0.9</v>
      </c>
      <c r="DY6">
        <v>113</v>
      </c>
      <c r="DZ6">
        <v>52.4</v>
      </c>
      <c r="EA6" s="1">
        <v>3.92</v>
      </c>
      <c r="EB6" s="2">
        <v>33</v>
      </c>
      <c r="EC6">
        <v>0.01</v>
      </c>
      <c r="ED6" s="1">
        <v>1.6</v>
      </c>
      <c r="EE6">
        <v>0.32</v>
      </c>
      <c r="EF6" s="2">
        <v>31.8</v>
      </c>
      <c r="EG6" s="1">
        <v>0.39</v>
      </c>
      <c r="EI6">
        <v>0.05</v>
      </c>
      <c r="EJ6" s="1">
        <v>0.09</v>
      </c>
      <c r="EK6" s="2">
        <v>24.8</v>
      </c>
      <c r="EL6">
        <v>0.16</v>
      </c>
    </row>
    <row r="7" spans="1:142" x14ac:dyDescent="0.25">
      <c r="A7" s="3">
        <v>2001</v>
      </c>
      <c r="B7">
        <v>14.3</v>
      </c>
      <c r="C7">
        <v>60</v>
      </c>
      <c r="D7">
        <v>24.2</v>
      </c>
      <c r="E7" s="1">
        <v>6.6</v>
      </c>
      <c r="F7" s="1">
        <v>1.36</v>
      </c>
      <c r="G7">
        <v>0.04</v>
      </c>
      <c r="H7" s="1">
        <v>4.7</v>
      </c>
      <c r="I7" s="2">
        <v>2.8</v>
      </c>
      <c r="J7">
        <v>5.2</v>
      </c>
      <c r="L7">
        <v>11.3</v>
      </c>
      <c r="M7" s="1">
        <v>1.67</v>
      </c>
      <c r="N7" s="1">
        <v>2.17</v>
      </c>
      <c r="O7" s="1">
        <v>23.7</v>
      </c>
      <c r="P7" s="1">
        <v>1.04</v>
      </c>
      <c r="Q7" s="1">
        <v>0.3</v>
      </c>
      <c r="R7" s="1">
        <v>0.25</v>
      </c>
      <c r="S7" s="1">
        <v>0.03</v>
      </c>
      <c r="T7" s="1">
        <v>0.05</v>
      </c>
      <c r="U7" s="1">
        <v>11.4</v>
      </c>
      <c r="V7" s="1">
        <v>0.11</v>
      </c>
      <c r="W7">
        <v>67</v>
      </c>
      <c r="AA7">
        <v>1003</v>
      </c>
      <c r="AC7">
        <v>50</v>
      </c>
      <c r="AD7" s="1">
        <v>2.2999999999999998</v>
      </c>
      <c r="AE7" s="1">
        <v>24.3</v>
      </c>
      <c r="AF7" s="1">
        <v>1.1000000000000001</v>
      </c>
      <c r="AG7" s="1">
        <v>0.28999999999999998</v>
      </c>
      <c r="AH7" s="1">
        <v>0.27</v>
      </c>
      <c r="AI7" s="1">
        <v>0.03</v>
      </c>
      <c r="AJ7" s="1">
        <v>1.78</v>
      </c>
      <c r="AK7" s="1">
        <v>0.1</v>
      </c>
      <c r="AM7">
        <v>15</v>
      </c>
      <c r="AN7">
        <v>71</v>
      </c>
      <c r="AO7">
        <v>0.7</v>
      </c>
      <c r="AP7">
        <v>0.24</v>
      </c>
      <c r="AQ7" s="2">
        <v>2</v>
      </c>
      <c r="AR7" s="2">
        <v>23.9</v>
      </c>
      <c r="AS7">
        <v>5.8</v>
      </c>
      <c r="AT7">
        <v>34</v>
      </c>
      <c r="AV7">
        <v>36.6</v>
      </c>
      <c r="AW7" s="2">
        <v>5.64</v>
      </c>
      <c r="AX7">
        <v>0.04</v>
      </c>
      <c r="AY7" s="2">
        <v>12.9</v>
      </c>
      <c r="AZ7">
        <v>29</v>
      </c>
      <c r="BA7">
        <v>92</v>
      </c>
      <c r="BB7" s="2">
        <v>49.7</v>
      </c>
      <c r="BC7">
        <v>5.6</v>
      </c>
      <c r="BD7" s="2">
        <v>84</v>
      </c>
      <c r="BE7">
        <v>463</v>
      </c>
      <c r="BF7">
        <v>5.4</v>
      </c>
      <c r="BG7" s="2">
        <v>15.9</v>
      </c>
      <c r="BH7">
        <v>3.22</v>
      </c>
      <c r="BI7">
        <v>3.3</v>
      </c>
      <c r="BJ7" s="2">
        <v>1</v>
      </c>
      <c r="BK7">
        <v>1114</v>
      </c>
      <c r="BM7">
        <v>2.7</v>
      </c>
      <c r="BN7">
        <v>2.7</v>
      </c>
      <c r="BO7" s="2">
        <v>8.6999999999999993</v>
      </c>
      <c r="BP7">
        <v>345</v>
      </c>
      <c r="BQ7">
        <v>0.4</v>
      </c>
      <c r="BR7" s="2">
        <v>8.8000000000000007</v>
      </c>
      <c r="BS7">
        <v>103</v>
      </c>
      <c r="BT7">
        <v>2.2799999999999998</v>
      </c>
      <c r="BU7" s="2">
        <v>23.1</v>
      </c>
      <c r="BV7" s="1">
        <v>1.1200000000000001</v>
      </c>
      <c r="BW7">
        <v>0.3</v>
      </c>
      <c r="BX7">
        <v>0.24</v>
      </c>
      <c r="BY7" s="4">
        <v>8.9999999999999993E-3</v>
      </c>
      <c r="BZ7">
        <v>0.04</v>
      </c>
      <c r="CA7">
        <v>1.75</v>
      </c>
      <c r="CB7" s="2">
        <v>12.2</v>
      </c>
      <c r="CC7">
        <v>0.1</v>
      </c>
      <c r="CF7">
        <v>25</v>
      </c>
      <c r="CG7" s="2">
        <v>76.8</v>
      </c>
      <c r="CI7">
        <v>0.3</v>
      </c>
      <c r="CJ7">
        <v>2.2000000000000002</v>
      </c>
      <c r="CK7" s="2">
        <v>24.3</v>
      </c>
      <c r="CL7" s="2">
        <v>5.9</v>
      </c>
      <c r="CM7">
        <v>28</v>
      </c>
      <c r="CN7" s="2">
        <v>3.2</v>
      </c>
      <c r="CO7">
        <v>38</v>
      </c>
      <c r="CP7" s="1">
        <v>1.63</v>
      </c>
      <c r="CQ7">
        <v>0.89</v>
      </c>
      <c r="CR7" s="1">
        <v>0.5</v>
      </c>
      <c r="CS7">
        <v>7</v>
      </c>
      <c r="CT7" s="1">
        <v>2.0499999999999998</v>
      </c>
      <c r="CV7">
        <v>1</v>
      </c>
      <c r="CW7">
        <v>0.33</v>
      </c>
      <c r="CY7" s="2">
        <v>13.3</v>
      </c>
      <c r="CZ7">
        <v>26</v>
      </c>
      <c r="DA7">
        <v>0.14000000000000001</v>
      </c>
      <c r="DB7">
        <v>53</v>
      </c>
      <c r="DC7">
        <v>6</v>
      </c>
      <c r="DD7" s="2">
        <v>10.9</v>
      </c>
      <c r="DE7">
        <v>79</v>
      </c>
      <c r="DF7">
        <v>7</v>
      </c>
      <c r="DG7" s="1">
        <v>3.11</v>
      </c>
      <c r="DH7" s="2">
        <v>17.5</v>
      </c>
      <c r="DI7">
        <v>3.3</v>
      </c>
      <c r="DK7" s="2">
        <v>2</v>
      </c>
      <c r="DL7">
        <v>5</v>
      </c>
      <c r="DM7">
        <v>1068</v>
      </c>
      <c r="DO7" s="1">
        <v>0.28999999999999998</v>
      </c>
      <c r="DQ7">
        <v>2.9</v>
      </c>
      <c r="DR7">
        <v>3.1</v>
      </c>
      <c r="DS7">
        <v>0.14000000000000001</v>
      </c>
      <c r="DT7" s="1">
        <v>9.61</v>
      </c>
      <c r="DU7">
        <v>412</v>
      </c>
      <c r="DW7" s="2">
        <v>9.8000000000000007</v>
      </c>
      <c r="DX7" s="2">
        <v>0.9</v>
      </c>
      <c r="DY7">
        <v>107</v>
      </c>
      <c r="DZ7">
        <v>53</v>
      </c>
      <c r="EA7" s="1">
        <v>3.96</v>
      </c>
      <c r="EB7" s="2">
        <v>33.1</v>
      </c>
      <c r="ED7" s="1">
        <v>1.61</v>
      </c>
      <c r="EE7">
        <v>0.32</v>
      </c>
      <c r="EF7" s="2">
        <v>31.8</v>
      </c>
      <c r="EG7" s="1">
        <v>0.4</v>
      </c>
      <c r="EI7">
        <v>0.04</v>
      </c>
      <c r="EJ7" s="1">
        <v>0.1</v>
      </c>
      <c r="EK7" s="2">
        <v>24.8</v>
      </c>
      <c r="EL7">
        <v>0.17</v>
      </c>
    </row>
    <row r="8" spans="1:142" x14ac:dyDescent="0.25">
      <c r="A8" s="3">
        <v>1600</v>
      </c>
      <c r="B8">
        <v>14.5</v>
      </c>
      <c r="C8">
        <v>102</v>
      </c>
      <c r="D8">
        <v>24.1</v>
      </c>
      <c r="E8" s="1">
        <v>6.58</v>
      </c>
      <c r="F8" s="1">
        <v>1.31</v>
      </c>
      <c r="G8">
        <v>0.04</v>
      </c>
      <c r="H8" s="1">
        <v>4.67</v>
      </c>
      <c r="I8" s="2">
        <v>3.1</v>
      </c>
      <c r="J8">
        <v>5.3</v>
      </c>
      <c r="L8">
        <v>11.3</v>
      </c>
      <c r="M8" s="1">
        <v>1.65</v>
      </c>
      <c r="N8" s="1">
        <v>2.2000000000000002</v>
      </c>
      <c r="O8" s="1">
        <v>23.6</v>
      </c>
      <c r="P8" s="1">
        <v>1.05</v>
      </c>
      <c r="Q8" s="1">
        <v>0.3</v>
      </c>
      <c r="R8" s="1">
        <v>0.25</v>
      </c>
      <c r="S8" s="1">
        <v>0.03</v>
      </c>
      <c r="T8" s="1">
        <v>0.04</v>
      </c>
      <c r="U8" s="1">
        <v>11.6</v>
      </c>
      <c r="V8" s="1">
        <v>0.11</v>
      </c>
      <c r="W8">
        <v>67</v>
      </c>
      <c r="AA8">
        <v>987</v>
      </c>
      <c r="AC8">
        <v>51</v>
      </c>
      <c r="AD8" s="1">
        <v>2.34</v>
      </c>
      <c r="AE8" s="1">
        <v>24.7</v>
      </c>
      <c r="AF8" s="1">
        <v>1.1100000000000001</v>
      </c>
      <c r="AG8" s="1">
        <v>0.3</v>
      </c>
      <c r="AH8" s="1">
        <v>0.27</v>
      </c>
      <c r="AI8" s="1">
        <v>0.03</v>
      </c>
      <c r="AJ8" s="1">
        <v>1.78</v>
      </c>
      <c r="AK8" s="1">
        <v>0.1</v>
      </c>
      <c r="AM8">
        <v>15</v>
      </c>
      <c r="AN8">
        <v>72</v>
      </c>
      <c r="AO8">
        <v>0.7</v>
      </c>
      <c r="AP8">
        <v>0.24</v>
      </c>
      <c r="AQ8" s="2">
        <v>2</v>
      </c>
      <c r="AR8" s="2">
        <v>24.2</v>
      </c>
      <c r="AS8">
        <v>5.8</v>
      </c>
      <c r="AT8">
        <v>34</v>
      </c>
      <c r="AV8">
        <v>37.6</v>
      </c>
      <c r="AW8" s="2">
        <v>5.5</v>
      </c>
      <c r="AX8">
        <v>0.04</v>
      </c>
      <c r="AY8" s="2">
        <v>13.1</v>
      </c>
      <c r="AZ8">
        <v>30</v>
      </c>
      <c r="BA8">
        <v>96</v>
      </c>
      <c r="BB8" s="2">
        <v>49.7</v>
      </c>
      <c r="BC8">
        <v>5.5</v>
      </c>
      <c r="BD8" s="2">
        <v>85.4</v>
      </c>
      <c r="BE8">
        <v>473</v>
      </c>
      <c r="BF8">
        <v>5.5</v>
      </c>
      <c r="BG8" s="2">
        <v>15.8</v>
      </c>
      <c r="BH8">
        <v>3.18</v>
      </c>
      <c r="BI8">
        <v>3.3</v>
      </c>
      <c r="BJ8" s="2">
        <v>1</v>
      </c>
      <c r="BK8">
        <v>1134</v>
      </c>
      <c r="BM8">
        <v>2.7</v>
      </c>
      <c r="BN8">
        <v>2.7</v>
      </c>
      <c r="BO8" s="2">
        <v>8.8000000000000007</v>
      </c>
      <c r="BP8">
        <v>349</v>
      </c>
      <c r="BQ8">
        <v>0.4</v>
      </c>
      <c r="BR8" s="2">
        <v>8.6</v>
      </c>
      <c r="BS8">
        <v>106</v>
      </c>
      <c r="BT8">
        <v>2.21</v>
      </c>
      <c r="BU8" s="2">
        <v>22.4</v>
      </c>
      <c r="BV8" s="1">
        <v>1.1299999999999999</v>
      </c>
      <c r="BW8">
        <v>0.3</v>
      </c>
      <c r="BX8">
        <v>0.24</v>
      </c>
      <c r="BY8" s="4">
        <v>8.9999999999999993E-3</v>
      </c>
      <c r="BZ8">
        <v>0.04</v>
      </c>
      <c r="CA8">
        <v>1.75</v>
      </c>
      <c r="CB8" s="2">
        <v>11.9</v>
      </c>
      <c r="CC8">
        <v>0.1</v>
      </c>
      <c r="CF8">
        <v>26</v>
      </c>
      <c r="CG8" s="2">
        <v>76.900000000000006</v>
      </c>
      <c r="CI8">
        <v>0.3</v>
      </c>
      <c r="CJ8">
        <v>2.2000000000000002</v>
      </c>
      <c r="CK8" s="2">
        <v>23.7</v>
      </c>
      <c r="CL8" s="2">
        <v>6</v>
      </c>
      <c r="CM8">
        <v>28</v>
      </c>
      <c r="CN8" s="2">
        <v>2.9</v>
      </c>
      <c r="CO8">
        <v>40</v>
      </c>
      <c r="CP8" s="1">
        <v>1.63</v>
      </c>
      <c r="CQ8">
        <v>1.01</v>
      </c>
      <c r="CR8" s="1">
        <v>0.47</v>
      </c>
      <c r="CS8">
        <v>6</v>
      </c>
      <c r="CT8" s="1">
        <v>2.0099999999999998</v>
      </c>
      <c r="CV8">
        <v>1</v>
      </c>
      <c r="CW8">
        <v>0.32</v>
      </c>
      <c r="CY8" s="2">
        <v>13.2</v>
      </c>
      <c r="CZ8">
        <v>25</v>
      </c>
      <c r="DA8">
        <v>0.15</v>
      </c>
      <c r="DB8">
        <v>53</v>
      </c>
      <c r="DC8">
        <v>6</v>
      </c>
      <c r="DD8" s="2">
        <v>10.5</v>
      </c>
      <c r="DE8">
        <v>78</v>
      </c>
      <c r="DF8">
        <v>6</v>
      </c>
      <c r="DG8" s="1">
        <v>3.06</v>
      </c>
      <c r="DH8" s="2">
        <v>17</v>
      </c>
      <c r="DI8">
        <v>3.4</v>
      </c>
      <c r="DK8" s="2">
        <v>2</v>
      </c>
      <c r="DL8">
        <v>3</v>
      </c>
      <c r="DM8">
        <v>1031</v>
      </c>
      <c r="DO8" s="1">
        <v>0.28000000000000003</v>
      </c>
      <c r="DQ8">
        <v>2.8</v>
      </c>
      <c r="DR8">
        <v>3.1</v>
      </c>
      <c r="DS8">
        <v>0.15</v>
      </c>
      <c r="DT8" s="1">
        <v>9.49</v>
      </c>
      <c r="DU8">
        <v>411</v>
      </c>
      <c r="DW8" s="2">
        <v>9.6999999999999993</v>
      </c>
      <c r="DX8" s="2">
        <v>0.9</v>
      </c>
      <c r="DY8">
        <v>104</v>
      </c>
      <c r="DZ8">
        <v>51.3</v>
      </c>
      <c r="EA8" s="1">
        <v>3.92</v>
      </c>
      <c r="EB8" s="2">
        <v>33.1</v>
      </c>
      <c r="ED8" s="1">
        <v>1.64</v>
      </c>
      <c r="EE8">
        <v>0.33</v>
      </c>
      <c r="EF8" s="2">
        <v>31.8</v>
      </c>
      <c r="EG8" s="1">
        <v>0.36</v>
      </c>
      <c r="EI8">
        <v>0.06</v>
      </c>
      <c r="EJ8" s="1">
        <v>0.09</v>
      </c>
      <c r="EK8" s="2">
        <v>25.1</v>
      </c>
      <c r="EL8">
        <v>0.16</v>
      </c>
    </row>
    <row r="9" spans="1:142" x14ac:dyDescent="0.25">
      <c r="A9" s="3">
        <v>200</v>
      </c>
      <c r="B9">
        <v>14.6</v>
      </c>
      <c r="C9">
        <v>83</v>
      </c>
      <c r="D9">
        <v>24.5</v>
      </c>
      <c r="E9" s="1">
        <v>6.69</v>
      </c>
      <c r="F9" s="1">
        <v>1.29</v>
      </c>
      <c r="G9">
        <v>0.04</v>
      </c>
      <c r="H9" s="1">
        <v>4.49</v>
      </c>
      <c r="I9" s="2">
        <v>3.1</v>
      </c>
      <c r="J9">
        <v>5.0999999999999996</v>
      </c>
      <c r="L9">
        <v>11.2</v>
      </c>
      <c r="M9" s="1">
        <v>1.61</v>
      </c>
      <c r="N9" s="1">
        <v>2.27</v>
      </c>
      <c r="O9" s="1">
        <v>24.1</v>
      </c>
      <c r="P9" s="1">
        <v>1.06</v>
      </c>
      <c r="Q9" s="1">
        <v>0.3</v>
      </c>
      <c r="R9" s="1">
        <v>0.25</v>
      </c>
      <c r="S9" s="1">
        <v>0.03</v>
      </c>
      <c r="T9" s="1">
        <v>0.04</v>
      </c>
      <c r="U9" s="1">
        <v>11.8</v>
      </c>
      <c r="V9" s="1">
        <v>0.11</v>
      </c>
      <c r="W9">
        <v>72</v>
      </c>
      <c r="AA9">
        <v>1003</v>
      </c>
      <c r="AC9">
        <v>52</v>
      </c>
      <c r="AD9" s="1">
        <v>2.29</v>
      </c>
      <c r="AE9" s="1">
        <v>24.1</v>
      </c>
      <c r="AF9" s="1">
        <v>1.0900000000000001</v>
      </c>
      <c r="AG9" s="1">
        <v>0.28999999999999998</v>
      </c>
      <c r="AH9" s="1">
        <v>0.26</v>
      </c>
      <c r="AI9" s="1">
        <v>0.03</v>
      </c>
      <c r="AJ9" s="1">
        <v>1.68</v>
      </c>
      <c r="AK9" s="1">
        <v>0.1</v>
      </c>
      <c r="AM9">
        <v>14</v>
      </c>
      <c r="AN9">
        <v>69</v>
      </c>
      <c r="AO9">
        <v>0.7</v>
      </c>
      <c r="AP9">
        <v>0.24</v>
      </c>
      <c r="AQ9" s="2">
        <v>2</v>
      </c>
      <c r="AR9" s="2">
        <v>24.3</v>
      </c>
      <c r="AS9">
        <v>5.8</v>
      </c>
      <c r="AT9">
        <v>32</v>
      </c>
      <c r="AV9">
        <v>39.4</v>
      </c>
      <c r="AW9" s="2">
        <v>5.47</v>
      </c>
      <c r="AX9">
        <v>0.04</v>
      </c>
      <c r="AY9" s="2">
        <v>13</v>
      </c>
      <c r="AZ9">
        <v>29</v>
      </c>
      <c r="BA9">
        <v>91</v>
      </c>
      <c r="BB9" s="2">
        <v>49.7</v>
      </c>
      <c r="BC9">
        <v>5.6</v>
      </c>
      <c r="BD9" s="2">
        <v>83.7</v>
      </c>
      <c r="BE9">
        <v>451</v>
      </c>
      <c r="BF9">
        <v>5.5</v>
      </c>
      <c r="BG9" s="2">
        <v>16.100000000000001</v>
      </c>
      <c r="BH9">
        <v>3.21</v>
      </c>
      <c r="BI9">
        <v>3.3</v>
      </c>
      <c r="BJ9" s="2">
        <v>1.1000000000000001</v>
      </c>
      <c r="BK9">
        <v>1113</v>
      </c>
      <c r="BM9">
        <v>2.7</v>
      </c>
      <c r="BN9">
        <v>2.7</v>
      </c>
      <c r="BO9" s="2">
        <v>8.8000000000000007</v>
      </c>
      <c r="BP9">
        <v>331</v>
      </c>
      <c r="BQ9">
        <v>0.4</v>
      </c>
      <c r="BR9" s="2">
        <v>8.9</v>
      </c>
      <c r="BS9">
        <v>101</v>
      </c>
      <c r="BT9">
        <v>2.25</v>
      </c>
      <c r="BU9" s="2">
        <v>23.2</v>
      </c>
      <c r="BV9" s="1">
        <v>1.0900000000000001</v>
      </c>
      <c r="BW9">
        <v>0.3</v>
      </c>
      <c r="BX9">
        <v>0.25</v>
      </c>
      <c r="BY9" s="4">
        <v>8.9999999999999993E-3</v>
      </c>
      <c r="BZ9">
        <v>0.04</v>
      </c>
      <c r="CA9">
        <v>1.72</v>
      </c>
      <c r="CB9" s="2">
        <v>11.9</v>
      </c>
      <c r="CC9">
        <v>0.1</v>
      </c>
      <c r="CF9">
        <v>23</v>
      </c>
      <c r="CG9" s="2">
        <v>80.2</v>
      </c>
      <c r="CI9">
        <v>0.2</v>
      </c>
      <c r="CJ9">
        <v>2.2000000000000002</v>
      </c>
      <c r="CK9" s="2">
        <v>23.6</v>
      </c>
      <c r="CL9" s="2">
        <v>5.9</v>
      </c>
      <c r="CM9">
        <v>28</v>
      </c>
      <c r="CN9" s="2">
        <v>3.4</v>
      </c>
      <c r="CO9">
        <v>37</v>
      </c>
      <c r="CP9" s="1">
        <v>1.57</v>
      </c>
      <c r="CQ9">
        <v>0.89</v>
      </c>
      <c r="CR9" s="1">
        <v>0.47</v>
      </c>
      <c r="CS9">
        <v>6</v>
      </c>
      <c r="CT9" s="1">
        <v>2.0099999999999998</v>
      </c>
      <c r="CV9">
        <v>1</v>
      </c>
      <c r="CW9">
        <v>0.31</v>
      </c>
      <c r="CY9" s="2">
        <v>13.1</v>
      </c>
      <c r="CZ9">
        <v>23</v>
      </c>
      <c r="DA9">
        <v>0.15</v>
      </c>
      <c r="DB9">
        <v>51</v>
      </c>
      <c r="DC9">
        <v>6</v>
      </c>
      <c r="DD9" s="2">
        <v>11</v>
      </c>
      <c r="DE9">
        <v>77</v>
      </c>
      <c r="DF9">
        <v>6</v>
      </c>
      <c r="DG9" s="1">
        <v>3</v>
      </c>
      <c r="DH9" s="2">
        <v>17.600000000000001</v>
      </c>
      <c r="DI9">
        <v>3.2</v>
      </c>
      <c r="DK9" s="2">
        <v>2</v>
      </c>
      <c r="DL9">
        <v>4</v>
      </c>
      <c r="DM9">
        <v>1074</v>
      </c>
      <c r="DO9" s="1">
        <v>0.28999999999999998</v>
      </c>
      <c r="DQ9">
        <v>2.8</v>
      </c>
      <c r="DR9">
        <v>3.1</v>
      </c>
      <c r="DS9">
        <v>0.15</v>
      </c>
      <c r="DT9" s="1">
        <v>9.4499999999999993</v>
      </c>
      <c r="DU9">
        <v>408</v>
      </c>
      <c r="DW9" s="2">
        <v>9.6999999999999993</v>
      </c>
      <c r="DX9" s="2">
        <v>1</v>
      </c>
      <c r="DY9">
        <v>107</v>
      </c>
      <c r="DZ9">
        <v>50.5</v>
      </c>
      <c r="EA9" s="1">
        <v>3.96</v>
      </c>
      <c r="EB9" s="2">
        <v>33</v>
      </c>
      <c r="EC9">
        <v>0.01</v>
      </c>
      <c r="ED9" s="1">
        <v>1.62</v>
      </c>
      <c r="EE9">
        <v>0.33</v>
      </c>
      <c r="EF9" s="2">
        <v>31.8</v>
      </c>
      <c r="EG9" s="1">
        <v>0.39</v>
      </c>
      <c r="EI9">
        <v>0.06</v>
      </c>
      <c r="EJ9" s="1">
        <v>0.1</v>
      </c>
      <c r="EK9" s="2">
        <v>24.8</v>
      </c>
      <c r="EL9">
        <v>0.17</v>
      </c>
    </row>
    <row r="10" spans="1:142" x14ac:dyDescent="0.25">
      <c r="A10" s="3">
        <v>400</v>
      </c>
      <c r="B10">
        <v>14.2</v>
      </c>
      <c r="C10">
        <v>99</v>
      </c>
      <c r="D10">
        <v>24.3</v>
      </c>
      <c r="E10" s="1">
        <v>6.63</v>
      </c>
      <c r="F10" s="1">
        <v>1.4</v>
      </c>
      <c r="G10">
        <v>0.05</v>
      </c>
      <c r="H10" s="1">
        <v>4.8899999999999997</v>
      </c>
      <c r="I10" s="2">
        <v>3</v>
      </c>
      <c r="J10">
        <v>5.3</v>
      </c>
      <c r="L10">
        <v>11.3</v>
      </c>
      <c r="M10" s="1">
        <v>1.67</v>
      </c>
      <c r="N10" s="1">
        <v>2.1800000000000002</v>
      </c>
      <c r="O10" s="1">
        <v>23.8</v>
      </c>
      <c r="P10" s="1">
        <v>1.03</v>
      </c>
      <c r="Q10" s="1">
        <v>0.31</v>
      </c>
      <c r="R10" s="1">
        <v>0.25</v>
      </c>
      <c r="S10" s="1">
        <v>0.03</v>
      </c>
      <c r="T10" s="1">
        <v>0.04</v>
      </c>
      <c r="U10" s="1">
        <v>11.5</v>
      </c>
      <c r="V10" s="1">
        <v>0.11</v>
      </c>
      <c r="W10">
        <v>74</v>
      </c>
      <c r="AA10">
        <v>992</v>
      </c>
      <c r="AC10">
        <v>53</v>
      </c>
      <c r="AD10" s="1">
        <v>2.2599999999999998</v>
      </c>
      <c r="AE10" s="1">
        <v>23.7</v>
      </c>
      <c r="AF10" s="1">
        <v>1.06</v>
      </c>
      <c r="AG10" s="1">
        <v>0.28999999999999998</v>
      </c>
      <c r="AH10" s="1">
        <v>0.26</v>
      </c>
      <c r="AI10" s="1">
        <v>0.03</v>
      </c>
      <c r="AJ10" s="1">
        <v>1.67</v>
      </c>
      <c r="AK10" s="1">
        <v>0.09</v>
      </c>
      <c r="AM10">
        <v>15</v>
      </c>
      <c r="AN10">
        <v>68</v>
      </c>
      <c r="AO10">
        <v>0.6</v>
      </c>
      <c r="AP10">
        <v>0.24</v>
      </c>
      <c r="AQ10" s="2">
        <v>2.1</v>
      </c>
      <c r="AR10" s="2">
        <v>24</v>
      </c>
      <c r="AS10">
        <v>5.7</v>
      </c>
      <c r="AT10">
        <v>32</v>
      </c>
      <c r="AV10">
        <v>36.700000000000003</v>
      </c>
      <c r="AW10" s="2">
        <v>5.55</v>
      </c>
      <c r="AX10">
        <v>0.04</v>
      </c>
      <c r="AY10" s="2">
        <v>13</v>
      </c>
      <c r="AZ10">
        <v>28</v>
      </c>
      <c r="BA10">
        <v>89</v>
      </c>
      <c r="BB10" s="2">
        <v>50</v>
      </c>
      <c r="BC10">
        <v>5.4</v>
      </c>
      <c r="BD10" s="2">
        <v>82.4</v>
      </c>
      <c r="BE10">
        <v>441</v>
      </c>
      <c r="BF10">
        <v>5.4</v>
      </c>
      <c r="BG10" s="2">
        <v>16.100000000000001</v>
      </c>
      <c r="BH10">
        <v>3.26</v>
      </c>
      <c r="BI10">
        <v>3.3</v>
      </c>
      <c r="BJ10" s="2">
        <v>1</v>
      </c>
      <c r="BK10">
        <v>1074</v>
      </c>
      <c r="BM10">
        <v>2.7</v>
      </c>
      <c r="BN10">
        <v>2.7</v>
      </c>
      <c r="BO10" s="2">
        <v>8.6999999999999993</v>
      </c>
      <c r="BP10">
        <v>331</v>
      </c>
      <c r="BQ10">
        <v>0.4</v>
      </c>
      <c r="BR10" s="2">
        <v>8.8000000000000007</v>
      </c>
      <c r="BS10">
        <v>99</v>
      </c>
      <c r="BT10">
        <v>2.25</v>
      </c>
      <c r="BU10" s="2">
        <v>22.8</v>
      </c>
      <c r="BV10" s="1">
        <v>1.1100000000000001</v>
      </c>
      <c r="BW10">
        <v>0.3</v>
      </c>
      <c r="BX10">
        <v>0.24</v>
      </c>
      <c r="BY10" s="4">
        <v>8.9999999999999993E-3</v>
      </c>
      <c r="BZ10">
        <v>0.04</v>
      </c>
      <c r="CA10">
        <v>1.76</v>
      </c>
      <c r="CB10" s="2">
        <v>11.9</v>
      </c>
      <c r="CC10">
        <v>0.1</v>
      </c>
      <c r="CF10">
        <v>24</v>
      </c>
      <c r="CG10" s="2">
        <v>80.2</v>
      </c>
      <c r="CI10">
        <v>0.2</v>
      </c>
      <c r="CJ10">
        <v>2.1</v>
      </c>
      <c r="CK10" s="2">
        <v>24.2</v>
      </c>
      <c r="CL10" s="2">
        <v>6.2</v>
      </c>
      <c r="CM10">
        <v>29</v>
      </c>
      <c r="CN10" s="2">
        <v>3.4</v>
      </c>
      <c r="CO10">
        <v>38</v>
      </c>
      <c r="CP10" s="1">
        <v>1.58</v>
      </c>
      <c r="CQ10">
        <v>0.97</v>
      </c>
      <c r="CR10" s="1">
        <v>0.49</v>
      </c>
      <c r="CS10">
        <v>7</v>
      </c>
      <c r="CT10" s="1">
        <v>2</v>
      </c>
      <c r="CV10">
        <v>1</v>
      </c>
      <c r="CW10">
        <v>0.32</v>
      </c>
      <c r="CY10" s="2">
        <v>13.4</v>
      </c>
      <c r="CZ10">
        <v>26</v>
      </c>
      <c r="DA10">
        <v>0.17</v>
      </c>
      <c r="DB10">
        <v>51</v>
      </c>
      <c r="DC10">
        <v>6</v>
      </c>
      <c r="DD10" s="2">
        <v>10.8</v>
      </c>
      <c r="DE10">
        <v>79</v>
      </c>
      <c r="DF10">
        <v>6</v>
      </c>
      <c r="DG10" s="1">
        <v>3.04</v>
      </c>
      <c r="DH10" s="2">
        <v>17.7</v>
      </c>
      <c r="DI10">
        <v>3.4</v>
      </c>
      <c r="DK10" s="2">
        <v>2.2000000000000002</v>
      </c>
      <c r="DL10">
        <v>3</v>
      </c>
      <c r="DM10">
        <v>1052</v>
      </c>
      <c r="DO10" s="1">
        <v>0.28000000000000003</v>
      </c>
      <c r="DQ10">
        <v>2.8</v>
      </c>
      <c r="DR10">
        <v>3.2</v>
      </c>
      <c r="DS10">
        <v>0.15</v>
      </c>
      <c r="DT10" s="1">
        <v>9.5</v>
      </c>
      <c r="DU10">
        <v>410</v>
      </c>
      <c r="DW10" s="2">
        <v>9.8000000000000007</v>
      </c>
      <c r="DX10" s="2">
        <v>1</v>
      </c>
      <c r="DY10">
        <v>105</v>
      </c>
      <c r="DZ10">
        <v>53.7</v>
      </c>
      <c r="EA10" s="1">
        <v>3.89</v>
      </c>
      <c r="EB10" s="2">
        <v>33.1</v>
      </c>
      <c r="ED10" s="1">
        <v>1.62</v>
      </c>
      <c r="EE10">
        <v>0.33</v>
      </c>
      <c r="EF10" s="2">
        <v>31.8</v>
      </c>
      <c r="EG10" s="1">
        <v>0.35</v>
      </c>
      <c r="EI10">
        <v>0.05</v>
      </c>
      <c r="EJ10" s="1">
        <v>0.09</v>
      </c>
      <c r="EK10" s="2">
        <v>24.9</v>
      </c>
      <c r="EL10">
        <v>0.18</v>
      </c>
    </row>
    <row r="11" spans="1:142" x14ac:dyDescent="0.25">
      <c r="A11" s="3">
        <v>1400</v>
      </c>
      <c r="B11">
        <v>14.4</v>
      </c>
      <c r="C11">
        <v>69</v>
      </c>
      <c r="D11">
        <v>24.1</v>
      </c>
      <c r="E11" s="1">
        <v>6.58</v>
      </c>
      <c r="F11" s="1">
        <v>1.33</v>
      </c>
      <c r="G11">
        <v>0.04</v>
      </c>
      <c r="H11" s="1">
        <v>4.6100000000000003</v>
      </c>
      <c r="I11" s="2">
        <v>3</v>
      </c>
      <c r="J11">
        <v>5.3</v>
      </c>
      <c r="L11">
        <v>11.3</v>
      </c>
      <c r="M11" s="1">
        <v>1.66</v>
      </c>
      <c r="N11" s="1">
        <v>2.21</v>
      </c>
      <c r="O11" s="1">
        <v>23.7</v>
      </c>
      <c r="P11" s="1">
        <v>1.02</v>
      </c>
      <c r="Q11" s="1">
        <v>0.3</v>
      </c>
      <c r="R11" s="1">
        <v>0.25</v>
      </c>
      <c r="S11" s="1">
        <v>0.03</v>
      </c>
      <c r="T11" s="1">
        <v>0.04</v>
      </c>
      <c r="U11" s="1">
        <v>11.5</v>
      </c>
      <c r="V11" s="1">
        <v>0.11</v>
      </c>
      <c r="W11">
        <v>71</v>
      </c>
      <c r="AA11">
        <v>990</v>
      </c>
      <c r="AC11">
        <v>51</v>
      </c>
      <c r="AD11" s="1">
        <v>2.29</v>
      </c>
      <c r="AE11" s="1">
        <v>24.2</v>
      </c>
      <c r="AF11" s="1">
        <v>1.1100000000000001</v>
      </c>
      <c r="AG11" s="1">
        <v>0.28999999999999998</v>
      </c>
      <c r="AH11" s="1">
        <v>0.27</v>
      </c>
      <c r="AI11" s="1">
        <v>0.03</v>
      </c>
      <c r="AJ11" s="1">
        <v>1.77</v>
      </c>
      <c r="AK11" s="1">
        <v>0.1</v>
      </c>
      <c r="AM11">
        <v>14</v>
      </c>
      <c r="AN11">
        <v>70</v>
      </c>
      <c r="AO11">
        <v>0.6</v>
      </c>
      <c r="AP11">
        <v>0.24</v>
      </c>
      <c r="AQ11" s="2">
        <v>2</v>
      </c>
      <c r="AR11" s="2">
        <v>23.5</v>
      </c>
      <c r="AS11">
        <v>5.6</v>
      </c>
      <c r="AT11">
        <v>33</v>
      </c>
      <c r="AV11">
        <v>36.6</v>
      </c>
      <c r="AW11" s="2">
        <v>5.55</v>
      </c>
      <c r="AX11">
        <v>0.04</v>
      </c>
      <c r="AY11" s="2">
        <v>12.7</v>
      </c>
      <c r="AZ11">
        <v>29</v>
      </c>
      <c r="BA11">
        <v>92</v>
      </c>
      <c r="BB11" s="2">
        <v>50.7</v>
      </c>
      <c r="BC11">
        <v>5.5</v>
      </c>
      <c r="BD11" s="2">
        <v>82.8</v>
      </c>
      <c r="BE11">
        <v>468</v>
      </c>
      <c r="BF11">
        <v>5.3</v>
      </c>
      <c r="BG11" s="2">
        <v>15.6</v>
      </c>
      <c r="BH11">
        <v>3.18</v>
      </c>
      <c r="BI11">
        <v>3.2</v>
      </c>
      <c r="BJ11" s="2">
        <v>1</v>
      </c>
      <c r="BK11">
        <v>1128</v>
      </c>
      <c r="BL11">
        <v>0.1</v>
      </c>
      <c r="BM11">
        <v>2.6</v>
      </c>
      <c r="BN11">
        <v>2.7</v>
      </c>
      <c r="BO11" s="2">
        <v>8.6999999999999993</v>
      </c>
      <c r="BP11">
        <v>345</v>
      </c>
      <c r="BQ11">
        <v>0.4</v>
      </c>
      <c r="BR11" s="2">
        <v>8.6</v>
      </c>
      <c r="BS11">
        <v>104</v>
      </c>
      <c r="BT11">
        <v>2.33</v>
      </c>
      <c r="BU11" s="2">
        <v>23.8</v>
      </c>
      <c r="BV11" s="1">
        <v>1.1599999999999999</v>
      </c>
      <c r="BW11">
        <v>0.4</v>
      </c>
      <c r="BX11">
        <v>0.26</v>
      </c>
      <c r="BY11" s="4">
        <v>0.01</v>
      </c>
      <c r="BZ11">
        <v>0.04</v>
      </c>
      <c r="CA11">
        <v>1.81</v>
      </c>
      <c r="CB11" s="2">
        <v>12.3</v>
      </c>
      <c r="CC11">
        <v>0.1</v>
      </c>
      <c r="CF11">
        <v>26</v>
      </c>
      <c r="CG11" s="2">
        <v>81.2</v>
      </c>
      <c r="CI11">
        <v>0.2</v>
      </c>
      <c r="CJ11">
        <v>2.1</v>
      </c>
      <c r="CK11" s="2">
        <v>24</v>
      </c>
      <c r="CL11" s="2">
        <v>6.2</v>
      </c>
      <c r="CM11">
        <v>30</v>
      </c>
      <c r="CN11" s="2">
        <v>3.1</v>
      </c>
      <c r="CO11">
        <v>39</v>
      </c>
      <c r="CP11" s="1">
        <v>1.57</v>
      </c>
      <c r="CQ11">
        <v>0.87</v>
      </c>
      <c r="CR11" s="1">
        <v>0.45</v>
      </c>
      <c r="CS11">
        <v>7</v>
      </c>
      <c r="CT11" s="1">
        <v>1.95</v>
      </c>
      <c r="CV11">
        <v>1</v>
      </c>
      <c r="CW11">
        <v>0.31</v>
      </c>
      <c r="CY11" s="2">
        <v>13.2</v>
      </c>
      <c r="CZ11">
        <v>25</v>
      </c>
      <c r="DA11">
        <v>0.17</v>
      </c>
      <c r="DB11">
        <v>53</v>
      </c>
      <c r="DC11">
        <v>6</v>
      </c>
      <c r="DD11" s="2">
        <v>10.7</v>
      </c>
      <c r="DE11">
        <v>81</v>
      </c>
      <c r="DF11">
        <v>7</v>
      </c>
      <c r="DG11" s="1">
        <v>3.08</v>
      </c>
      <c r="DH11" s="2">
        <v>17.399999999999999</v>
      </c>
      <c r="DI11">
        <v>3.4</v>
      </c>
      <c r="DK11" s="2">
        <v>2</v>
      </c>
      <c r="DL11">
        <v>4</v>
      </c>
      <c r="DM11">
        <v>1108</v>
      </c>
      <c r="DO11" s="1">
        <v>0.28000000000000003</v>
      </c>
      <c r="DQ11">
        <v>2.8</v>
      </c>
      <c r="DR11">
        <v>3.1</v>
      </c>
      <c r="DS11">
        <v>0.16</v>
      </c>
      <c r="DT11" s="1">
        <v>9.48</v>
      </c>
      <c r="DU11">
        <v>425</v>
      </c>
      <c r="DW11" s="2">
        <v>10.1</v>
      </c>
      <c r="DX11" s="2">
        <v>1</v>
      </c>
      <c r="DY11">
        <v>114</v>
      </c>
      <c r="DZ11">
        <v>53.1</v>
      </c>
      <c r="EA11" s="1">
        <v>3.93</v>
      </c>
      <c r="EB11" s="2">
        <v>32.799999999999997</v>
      </c>
      <c r="EC11">
        <v>0.01</v>
      </c>
      <c r="ED11" s="1">
        <v>1.62</v>
      </c>
      <c r="EE11">
        <v>0.33</v>
      </c>
      <c r="EF11" s="2">
        <v>31.8</v>
      </c>
      <c r="EG11" s="1">
        <v>0.4</v>
      </c>
      <c r="EI11">
        <v>0.06</v>
      </c>
      <c r="EJ11" s="1">
        <v>0.1</v>
      </c>
      <c r="EK11" s="2">
        <v>24.8</v>
      </c>
      <c r="EL11">
        <v>0.17</v>
      </c>
    </row>
    <row r="12" spans="1:142" x14ac:dyDescent="0.25">
      <c r="A12" s="3">
        <v>1800</v>
      </c>
      <c r="B12">
        <v>14.8</v>
      </c>
      <c r="C12">
        <v>69</v>
      </c>
      <c r="D12">
        <v>24.5</v>
      </c>
      <c r="E12" s="1">
        <v>6.69</v>
      </c>
      <c r="F12" s="1">
        <v>1.33</v>
      </c>
      <c r="G12">
        <v>0.05</v>
      </c>
      <c r="H12" s="1">
        <v>4.54</v>
      </c>
      <c r="I12" s="2">
        <v>2.9</v>
      </c>
      <c r="J12">
        <v>5.2</v>
      </c>
      <c r="L12">
        <v>11.2</v>
      </c>
      <c r="M12" s="1">
        <v>1.6</v>
      </c>
      <c r="N12" s="1">
        <v>2.17</v>
      </c>
      <c r="O12" s="1">
        <v>23</v>
      </c>
      <c r="P12" s="1">
        <v>1</v>
      </c>
      <c r="Q12" s="1">
        <v>0.28999999999999998</v>
      </c>
      <c r="R12" s="1">
        <v>0.24</v>
      </c>
      <c r="S12" s="1">
        <v>0.03</v>
      </c>
      <c r="T12" s="1">
        <v>0.04</v>
      </c>
      <c r="U12" s="1">
        <v>11.3</v>
      </c>
      <c r="V12" s="1">
        <v>0.1</v>
      </c>
      <c r="W12">
        <v>69</v>
      </c>
      <c r="AA12">
        <v>965</v>
      </c>
      <c r="AC12">
        <v>48</v>
      </c>
      <c r="AD12" s="1">
        <v>2.2400000000000002</v>
      </c>
      <c r="AE12" s="1">
        <v>23.6</v>
      </c>
      <c r="AF12" s="1">
        <v>1.08</v>
      </c>
      <c r="AG12" s="1">
        <v>0.28999999999999998</v>
      </c>
      <c r="AH12" s="1">
        <v>0.26</v>
      </c>
      <c r="AI12" s="1">
        <v>0.03</v>
      </c>
      <c r="AJ12" s="1">
        <v>1.68</v>
      </c>
      <c r="AK12" s="1">
        <v>0.09</v>
      </c>
      <c r="AM12">
        <v>15</v>
      </c>
      <c r="AN12">
        <v>70</v>
      </c>
      <c r="AO12">
        <v>0.8</v>
      </c>
      <c r="AP12">
        <v>0.24</v>
      </c>
      <c r="AQ12" s="2">
        <v>2.1</v>
      </c>
      <c r="AR12" s="2">
        <v>24.2</v>
      </c>
      <c r="AS12">
        <v>5.8</v>
      </c>
      <c r="AT12">
        <v>32</v>
      </c>
      <c r="AV12">
        <v>36.1</v>
      </c>
      <c r="AW12" s="2">
        <v>5.6</v>
      </c>
      <c r="AX12">
        <v>0.04</v>
      </c>
      <c r="AY12" s="2">
        <v>13</v>
      </c>
      <c r="AZ12">
        <v>29</v>
      </c>
      <c r="BA12">
        <v>92</v>
      </c>
      <c r="BB12" s="2">
        <v>50</v>
      </c>
      <c r="BC12">
        <v>5.5</v>
      </c>
      <c r="BD12" s="2">
        <v>82.7</v>
      </c>
      <c r="BE12">
        <v>463</v>
      </c>
      <c r="BF12">
        <v>5.4</v>
      </c>
      <c r="BG12" s="2">
        <v>16.3</v>
      </c>
      <c r="BH12">
        <v>3.21</v>
      </c>
      <c r="BI12">
        <v>3.3</v>
      </c>
      <c r="BJ12" s="2">
        <v>1</v>
      </c>
      <c r="BK12">
        <v>1090</v>
      </c>
      <c r="BM12">
        <v>2.7</v>
      </c>
      <c r="BN12">
        <v>2.7</v>
      </c>
      <c r="BO12" s="2">
        <v>9</v>
      </c>
      <c r="BP12">
        <v>340</v>
      </c>
      <c r="BQ12">
        <v>0.4</v>
      </c>
      <c r="BR12" s="2">
        <v>8.6999999999999993</v>
      </c>
      <c r="BS12">
        <v>103</v>
      </c>
      <c r="BT12">
        <v>2.27</v>
      </c>
      <c r="BU12" s="2">
        <v>22.7</v>
      </c>
      <c r="BV12" s="1">
        <v>1.1100000000000001</v>
      </c>
      <c r="BW12">
        <v>0.4</v>
      </c>
      <c r="BX12">
        <v>0.24</v>
      </c>
      <c r="BY12" s="4">
        <v>8.9999999999999993E-3</v>
      </c>
      <c r="BZ12">
        <v>0.04</v>
      </c>
      <c r="CA12">
        <v>1.77</v>
      </c>
      <c r="CB12" s="2">
        <v>12.1</v>
      </c>
      <c r="CC12">
        <v>0.1</v>
      </c>
      <c r="CF12">
        <v>23</v>
      </c>
      <c r="CG12" s="2">
        <v>76.2</v>
      </c>
      <c r="CI12">
        <v>0.3</v>
      </c>
      <c r="CJ12">
        <v>2.2999999999999998</v>
      </c>
      <c r="CK12" s="2">
        <v>23.6</v>
      </c>
      <c r="CL12" s="2">
        <v>6.2</v>
      </c>
      <c r="CM12">
        <v>28</v>
      </c>
      <c r="CN12" s="2">
        <v>3.1</v>
      </c>
      <c r="CO12">
        <v>38</v>
      </c>
      <c r="CP12" s="1">
        <v>1.67</v>
      </c>
      <c r="CQ12">
        <v>0.89</v>
      </c>
      <c r="CR12" s="1">
        <v>0.49</v>
      </c>
      <c r="CS12">
        <v>7</v>
      </c>
      <c r="CT12" s="1">
        <v>1.99</v>
      </c>
      <c r="CV12">
        <v>1</v>
      </c>
      <c r="CW12">
        <v>0.33</v>
      </c>
      <c r="CY12" s="2">
        <v>13.3</v>
      </c>
      <c r="CZ12">
        <v>24</v>
      </c>
      <c r="DA12">
        <v>0.15</v>
      </c>
      <c r="DB12">
        <v>53</v>
      </c>
      <c r="DC12">
        <v>6</v>
      </c>
      <c r="DD12" s="2">
        <v>10.5</v>
      </c>
      <c r="DE12">
        <v>78</v>
      </c>
      <c r="DF12">
        <v>7</v>
      </c>
      <c r="DG12" s="1">
        <v>3.1</v>
      </c>
      <c r="DH12" s="2">
        <v>17.7</v>
      </c>
      <c r="DI12">
        <v>3.4</v>
      </c>
      <c r="DK12" s="2">
        <v>2.1</v>
      </c>
      <c r="DL12">
        <v>4</v>
      </c>
      <c r="DM12">
        <v>1048</v>
      </c>
      <c r="DO12" s="1">
        <v>0.3</v>
      </c>
      <c r="DQ12">
        <v>2.8</v>
      </c>
      <c r="DR12">
        <v>3.1</v>
      </c>
      <c r="DS12">
        <v>0.15</v>
      </c>
      <c r="DT12" s="1">
        <v>9.4700000000000006</v>
      </c>
      <c r="DU12">
        <v>412</v>
      </c>
      <c r="DW12" s="2">
        <v>9.9</v>
      </c>
      <c r="DX12" s="2">
        <v>0.9</v>
      </c>
      <c r="DY12">
        <v>105</v>
      </c>
      <c r="DZ12">
        <v>53</v>
      </c>
      <c r="EA12" s="1">
        <v>3.93</v>
      </c>
      <c r="EB12" s="2">
        <v>32.799999999999997</v>
      </c>
      <c r="ED12" s="1">
        <v>1.6</v>
      </c>
      <c r="EE12">
        <v>0.33</v>
      </c>
      <c r="EF12" s="2">
        <v>31.7</v>
      </c>
      <c r="EG12" s="1">
        <v>0.39</v>
      </c>
      <c r="EI12">
        <v>0.06</v>
      </c>
      <c r="EJ12" s="1">
        <v>0.09</v>
      </c>
      <c r="EK12" s="2">
        <v>24.9</v>
      </c>
      <c r="EL12">
        <v>0.17</v>
      </c>
    </row>
    <row r="13" spans="1:142" x14ac:dyDescent="0.25">
      <c r="A13" s="3" t="s">
        <v>80</v>
      </c>
      <c r="B13">
        <v>14.5</v>
      </c>
      <c r="C13">
        <v>94</v>
      </c>
      <c r="D13">
        <v>24.4</v>
      </c>
      <c r="E13" s="1">
        <v>6.66</v>
      </c>
      <c r="F13" s="1">
        <v>1.33</v>
      </c>
      <c r="G13">
        <v>0.05</v>
      </c>
      <c r="H13" s="1">
        <v>4.5599999999999996</v>
      </c>
      <c r="I13" s="2">
        <v>3.1</v>
      </c>
      <c r="J13">
        <v>5.2</v>
      </c>
      <c r="L13">
        <v>11.3</v>
      </c>
      <c r="M13" s="1">
        <v>1.66</v>
      </c>
      <c r="N13" s="1">
        <v>2.21</v>
      </c>
      <c r="O13" s="1">
        <v>23.6</v>
      </c>
      <c r="P13" s="1">
        <v>1.02</v>
      </c>
      <c r="Q13" s="1">
        <v>0.3</v>
      </c>
      <c r="R13" s="1">
        <v>0.25</v>
      </c>
      <c r="S13" s="1">
        <v>0.03</v>
      </c>
      <c r="T13" s="1">
        <v>0.04</v>
      </c>
      <c r="U13" s="1">
        <v>11.4</v>
      </c>
      <c r="V13" s="1">
        <v>0.11</v>
      </c>
      <c r="W13">
        <v>72</v>
      </c>
      <c r="AA13">
        <v>979</v>
      </c>
      <c r="AC13">
        <v>52</v>
      </c>
      <c r="AD13" s="1">
        <v>2.2799999999999998</v>
      </c>
      <c r="AE13" s="1">
        <v>23.6</v>
      </c>
      <c r="AF13" s="1">
        <v>1.0900000000000001</v>
      </c>
      <c r="AG13" s="1">
        <v>0.3</v>
      </c>
      <c r="AH13" s="1">
        <v>0.27</v>
      </c>
      <c r="AI13" s="1">
        <v>0.03</v>
      </c>
      <c r="AJ13" s="1">
        <v>1.82</v>
      </c>
      <c r="AK13" s="1">
        <v>0.1</v>
      </c>
      <c r="AM13">
        <v>14</v>
      </c>
      <c r="AN13">
        <v>70</v>
      </c>
      <c r="AO13">
        <v>0.6</v>
      </c>
      <c r="AP13">
        <v>0.23</v>
      </c>
      <c r="AQ13" s="2">
        <v>2</v>
      </c>
      <c r="AR13" s="2">
        <v>23.8</v>
      </c>
      <c r="AS13">
        <v>5.8</v>
      </c>
      <c r="AT13">
        <v>31</v>
      </c>
      <c r="AV13">
        <v>38.6</v>
      </c>
      <c r="AW13" s="2">
        <v>5.46</v>
      </c>
      <c r="AX13">
        <v>0.04</v>
      </c>
      <c r="AY13" s="2">
        <v>12.9</v>
      </c>
      <c r="AZ13">
        <v>29</v>
      </c>
      <c r="BA13">
        <v>91</v>
      </c>
      <c r="BB13" s="2">
        <v>50</v>
      </c>
      <c r="BC13">
        <v>5.5</v>
      </c>
      <c r="BD13" s="2">
        <v>82.3</v>
      </c>
      <c r="BE13">
        <v>461</v>
      </c>
      <c r="BF13">
        <v>5.5</v>
      </c>
      <c r="BG13" s="2">
        <v>16</v>
      </c>
      <c r="BH13">
        <v>3.27</v>
      </c>
      <c r="BI13">
        <v>3.2</v>
      </c>
      <c r="BJ13" s="2">
        <v>1</v>
      </c>
      <c r="BK13">
        <v>1109</v>
      </c>
      <c r="BL13">
        <v>0.1</v>
      </c>
      <c r="BM13">
        <v>2.7</v>
      </c>
      <c r="BN13">
        <v>2.7</v>
      </c>
      <c r="BO13" s="2">
        <v>9</v>
      </c>
      <c r="BP13">
        <v>348</v>
      </c>
      <c r="BQ13">
        <v>0.4</v>
      </c>
      <c r="BR13" s="2">
        <v>8.8000000000000007</v>
      </c>
      <c r="BS13">
        <v>104</v>
      </c>
      <c r="BT13">
        <v>2.2400000000000002</v>
      </c>
      <c r="BU13" s="2">
        <v>22.7</v>
      </c>
      <c r="BV13" s="1">
        <v>1.1200000000000001</v>
      </c>
      <c r="BW13">
        <v>0.3</v>
      </c>
      <c r="BX13">
        <v>0.24</v>
      </c>
      <c r="BY13" s="4">
        <v>8.9999999999999993E-3</v>
      </c>
      <c r="BZ13">
        <v>0.04</v>
      </c>
      <c r="CA13">
        <v>1.74</v>
      </c>
      <c r="CB13" s="2">
        <v>12</v>
      </c>
      <c r="CC13">
        <v>0.1</v>
      </c>
      <c r="CF13">
        <v>23</v>
      </c>
      <c r="CG13" s="2">
        <v>76.7</v>
      </c>
      <c r="CI13">
        <v>0.2</v>
      </c>
      <c r="CJ13">
        <v>2.4</v>
      </c>
      <c r="CK13" s="2">
        <v>23.8</v>
      </c>
      <c r="CL13" s="2">
        <v>6.1</v>
      </c>
      <c r="CM13">
        <v>29</v>
      </c>
      <c r="CN13" s="2">
        <v>3.3</v>
      </c>
      <c r="CO13">
        <v>38</v>
      </c>
      <c r="CP13" s="1">
        <v>1.7</v>
      </c>
      <c r="CQ13">
        <v>0.88</v>
      </c>
      <c r="CR13" s="1">
        <v>0.49</v>
      </c>
      <c r="CS13">
        <v>6</v>
      </c>
      <c r="CT13" s="1">
        <v>1.91</v>
      </c>
      <c r="CV13">
        <v>1</v>
      </c>
      <c r="CW13">
        <v>0.32</v>
      </c>
      <c r="CY13" s="2">
        <v>13.2</v>
      </c>
      <c r="CZ13">
        <v>24</v>
      </c>
      <c r="DA13">
        <v>0.16</v>
      </c>
      <c r="DB13">
        <v>52</v>
      </c>
      <c r="DC13">
        <v>6</v>
      </c>
      <c r="DD13" s="2">
        <v>10.7</v>
      </c>
      <c r="DE13">
        <v>78</v>
      </c>
      <c r="DF13">
        <v>7</v>
      </c>
      <c r="DG13" s="1">
        <v>3.04</v>
      </c>
      <c r="DH13" s="2">
        <v>17.8</v>
      </c>
      <c r="DI13">
        <v>3.4</v>
      </c>
      <c r="DK13" s="2">
        <v>2.2000000000000002</v>
      </c>
      <c r="DL13">
        <v>4</v>
      </c>
      <c r="DM13">
        <v>1051</v>
      </c>
      <c r="DO13" s="1">
        <v>0.27</v>
      </c>
      <c r="DQ13">
        <v>2.9</v>
      </c>
      <c r="DR13">
        <v>3.1</v>
      </c>
      <c r="DS13">
        <v>0.15</v>
      </c>
      <c r="DT13" s="1">
        <v>9.6199999999999992</v>
      </c>
      <c r="DU13">
        <v>414</v>
      </c>
      <c r="DW13" s="2">
        <v>9.9</v>
      </c>
      <c r="DX13" s="2">
        <v>0.9</v>
      </c>
      <c r="DY13">
        <v>105</v>
      </c>
      <c r="DZ13">
        <v>53.4</v>
      </c>
      <c r="EA13" s="1">
        <v>3.92</v>
      </c>
      <c r="EB13" s="2">
        <v>33.1</v>
      </c>
      <c r="EC13">
        <v>0.02</v>
      </c>
      <c r="ED13" s="1">
        <v>1.58</v>
      </c>
      <c r="EE13">
        <v>0.34</v>
      </c>
      <c r="EF13" s="2">
        <v>31.7</v>
      </c>
      <c r="EG13" s="1">
        <v>0.38</v>
      </c>
      <c r="EI13">
        <v>0.04</v>
      </c>
      <c r="EJ13" s="1">
        <v>0.1</v>
      </c>
      <c r="EK13" s="2">
        <v>24.8</v>
      </c>
      <c r="EL13">
        <v>0.17</v>
      </c>
    </row>
    <row r="14" spans="1:142" x14ac:dyDescent="0.25">
      <c r="A14" s="3" t="s">
        <v>81</v>
      </c>
      <c r="B14">
        <v>14.4</v>
      </c>
      <c r="C14">
        <v>95</v>
      </c>
      <c r="D14">
        <v>24.1</v>
      </c>
      <c r="E14" s="1">
        <v>6.58</v>
      </c>
      <c r="F14" s="1">
        <v>1.42</v>
      </c>
      <c r="G14">
        <v>0.05</v>
      </c>
      <c r="H14" s="1">
        <v>4.6100000000000003</v>
      </c>
      <c r="I14" s="2">
        <v>3</v>
      </c>
      <c r="J14">
        <v>5.2</v>
      </c>
      <c r="L14">
        <v>11.3</v>
      </c>
      <c r="M14" s="1">
        <v>1.65</v>
      </c>
      <c r="N14" s="1">
        <v>2.21</v>
      </c>
      <c r="O14" s="1">
        <v>23.9</v>
      </c>
      <c r="P14" s="1">
        <v>1.03</v>
      </c>
      <c r="Q14" s="1">
        <v>0.31</v>
      </c>
      <c r="R14" s="1">
        <v>0.25</v>
      </c>
      <c r="S14" s="1">
        <v>0.03</v>
      </c>
      <c r="T14" s="1">
        <v>0.04</v>
      </c>
      <c r="U14" s="1">
        <v>11.5</v>
      </c>
      <c r="V14" s="1">
        <v>0.11</v>
      </c>
      <c r="W14">
        <v>74</v>
      </c>
      <c r="AA14">
        <v>998</v>
      </c>
      <c r="AC14">
        <v>51</v>
      </c>
      <c r="AD14" s="1">
        <v>2.27</v>
      </c>
      <c r="AE14" s="1">
        <v>24.2</v>
      </c>
      <c r="AF14" s="1">
        <v>1.08</v>
      </c>
      <c r="AG14" s="1">
        <v>0.28999999999999998</v>
      </c>
      <c r="AH14" s="1">
        <v>0.27</v>
      </c>
      <c r="AI14" s="1">
        <v>0.03</v>
      </c>
      <c r="AJ14" s="1">
        <v>1.76</v>
      </c>
      <c r="AK14" s="1">
        <v>0.1</v>
      </c>
      <c r="AM14">
        <v>14</v>
      </c>
      <c r="AN14">
        <v>70</v>
      </c>
      <c r="AO14">
        <v>0.6</v>
      </c>
      <c r="AP14">
        <v>0.24</v>
      </c>
      <c r="AQ14" s="2">
        <v>2</v>
      </c>
      <c r="AR14" s="2">
        <v>23.8</v>
      </c>
      <c r="AS14">
        <v>5.7</v>
      </c>
      <c r="AT14">
        <v>31</v>
      </c>
      <c r="AV14">
        <v>36.700000000000003</v>
      </c>
      <c r="AW14" s="2">
        <v>5.49</v>
      </c>
      <c r="AX14">
        <v>0.04</v>
      </c>
      <c r="AY14" s="2">
        <v>12.8</v>
      </c>
      <c r="AZ14">
        <v>29</v>
      </c>
      <c r="BA14">
        <v>91</v>
      </c>
      <c r="BB14" s="2">
        <v>48.3</v>
      </c>
      <c r="BC14">
        <v>5.5</v>
      </c>
      <c r="BD14" s="2">
        <v>81.099999999999994</v>
      </c>
      <c r="BE14">
        <v>457</v>
      </c>
      <c r="BF14">
        <v>5.6</v>
      </c>
      <c r="BG14" s="2">
        <v>15.7</v>
      </c>
      <c r="BH14">
        <v>3.24</v>
      </c>
      <c r="BI14">
        <v>3.2</v>
      </c>
      <c r="BJ14" s="2">
        <v>1</v>
      </c>
      <c r="BK14">
        <v>1114</v>
      </c>
      <c r="BM14">
        <v>2.7</v>
      </c>
      <c r="BN14">
        <v>2.7</v>
      </c>
      <c r="BO14" s="2">
        <v>9</v>
      </c>
      <c r="BP14">
        <v>345</v>
      </c>
      <c r="BQ14">
        <v>0.4</v>
      </c>
      <c r="BR14" s="2">
        <v>8.6999999999999993</v>
      </c>
      <c r="BS14">
        <v>100</v>
      </c>
      <c r="BT14">
        <v>2.2400000000000002</v>
      </c>
      <c r="BU14" s="2">
        <v>22.4</v>
      </c>
      <c r="BV14" s="1">
        <v>1.1000000000000001</v>
      </c>
      <c r="BW14">
        <v>0.3</v>
      </c>
      <c r="BX14">
        <v>0.24</v>
      </c>
      <c r="BY14" s="4">
        <v>8.9999999999999993E-3</v>
      </c>
      <c r="BZ14">
        <v>0.04</v>
      </c>
      <c r="CA14">
        <v>1.76</v>
      </c>
      <c r="CB14" s="2">
        <v>12</v>
      </c>
      <c r="CC14">
        <v>0.1</v>
      </c>
      <c r="CF14">
        <v>22</v>
      </c>
      <c r="CG14" s="2">
        <v>77.8</v>
      </c>
      <c r="CI14">
        <v>0.2</v>
      </c>
      <c r="CJ14">
        <v>2.2000000000000002</v>
      </c>
      <c r="CK14" s="2">
        <v>23.7</v>
      </c>
      <c r="CL14" s="2">
        <v>6.3</v>
      </c>
      <c r="CM14">
        <v>28</v>
      </c>
      <c r="CN14" s="2">
        <v>3.2</v>
      </c>
      <c r="CO14">
        <v>37</v>
      </c>
      <c r="CP14" s="1">
        <v>1.67</v>
      </c>
      <c r="CQ14">
        <v>0.89</v>
      </c>
      <c r="CR14" s="1">
        <v>0.49</v>
      </c>
      <c r="CS14">
        <v>6</v>
      </c>
      <c r="CT14" s="1">
        <v>2</v>
      </c>
      <c r="CV14">
        <v>1</v>
      </c>
      <c r="CW14">
        <v>0.31</v>
      </c>
      <c r="CY14" s="2">
        <v>13.2</v>
      </c>
      <c r="CZ14">
        <v>25</v>
      </c>
      <c r="DA14">
        <v>0.16</v>
      </c>
      <c r="DB14">
        <v>52</v>
      </c>
      <c r="DC14">
        <v>6</v>
      </c>
      <c r="DD14" s="2">
        <v>10.5</v>
      </c>
      <c r="DE14">
        <v>78</v>
      </c>
      <c r="DF14">
        <v>7</v>
      </c>
      <c r="DG14" s="1">
        <v>3.04</v>
      </c>
      <c r="DH14" s="2">
        <v>17.600000000000001</v>
      </c>
      <c r="DI14">
        <v>3.5</v>
      </c>
      <c r="DK14" s="2">
        <v>2</v>
      </c>
      <c r="DL14">
        <v>3</v>
      </c>
      <c r="DM14">
        <v>1034</v>
      </c>
      <c r="DO14" s="1">
        <v>0.28000000000000003</v>
      </c>
      <c r="DQ14">
        <v>2.9</v>
      </c>
      <c r="DR14">
        <v>3.1</v>
      </c>
      <c r="DS14">
        <v>0.14000000000000001</v>
      </c>
      <c r="DT14" s="1">
        <v>9.57</v>
      </c>
      <c r="DU14">
        <v>413</v>
      </c>
      <c r="DW14" s="2">
        <v>9.6999999999999993</v>
      </c>
      <c r="DX14" s="2">
        <v>0.9</v>
      </c>
      <c r="DY14">
        <v>114</v>
      </c>
      <c r="DZ14">
        <v>52.6</v>
      </c>
      <c r="EA14" s="1">
        <v>3.94</v>
      </c>
      <c r="EB14" s="2">
        <v>33.1</v>
      </c>
      <c r="EC14">
        <v>0.01</v>
      </c>
      <c r="ED14" s="1">
        <v>1.64</v>
      </c>
      <c r="EE14">
        <v>0.33</v>
      </c>
      <c r="EF14" s="2">
        <v>31.7</v>
      </c>
      <c r="EG14" s="1">
        <v>0.4</v>
      </c>
      <c r="EI14">
        <v>0.03</v>
      </c>
      <c r="EJ14" s="1">
        <v>0.1</v>
      </c>
      <c r="EK14" s="2">
        <v>25</v>
      </c>
      <c r="EL14">
        <v>0.17</v>
      </c>
    </row>
    <row r="15" spans="1:142" x14ac:dyDescent="0.25">
      <c r="A15" s="3">
        <v>401</v>
      </c>
      <c r="B15">
        <v>14.7</v>
      </c>
      <c r="C15">
        <v>101</v>
      </c>
      <c r="D15">
        <v>24.1</v>
      </c>
      <c r="E15" s="1">
        <v>6.58</v>
      </c>
      <c r="F15" s="1">
        <v>1.36</v>
      </c>
      <c r="G15">
        <v>0.04</v>
      </c>
      <c r="H15" s="1">
        <v>4.57</v>
      </c>
      <c r="I15" s="2">
        <v>2.9</v>
      </c>
      <c r="J15">
        <v>5.0999999999999996</v>
      </c>
      <c r="L15">
        <v>11.2</v>
      </c>
      <c r="M15" s="1">
        <v>1.63</v>
      </c>
      <c r="N15" s="1">
        <v>2.17</v>
      </c>
      <c r="O15" s="1">
        <v>23.3</v>
      </c>
      <c r="P15" s="1">
        <v>0.98</v>
      </c>
      <c r="Q15" s="1">
        <v>0.28999999999999998</v>
      </c>
      <c r="R15" s="1">
        <v>0.24</v>
      </c>
      <c r="S15" s="1">
        <v>0.03</v>
      </c>
      <c r="T15" s="1">
        <v>0.04</v>
      </c>
      <c r="U15" s="1">
        <v>11.3</v>
      </c>
      <c r="V15" s="1">
        <v>0.11</v>
      </c>
      <c r="W15">
        <v>74</v>
      </c>
      <c r="AA15">
        <v>963</v>
      </c>
      <c r="AC15">
        <v>53</v>
      </c>
      <c r="AD15" s="1">
        <v>2.29</v>
      </c>
      <c r="AE15" s="1">
        <v>24.3</v>
      </c>
      <c r="AF15" s="1">
        <v>1.06</v>
      </c>
      <c r="AG15" s="1">
        <v>0.28999999999999998</v>
      </c>
      <c r="AH15" s="1">
        <v>0.26</v>
      </c>
      <c r="AI15" s="1">
        <v>0.03</v>
      </c>
      <c r="AJ15" s="1">
        <v>1.75</v>
      </c>
      <c r="AK15" s="1">
        <v>0.1</v>
      </c>
      <c r="AM15">
        <v>14</v>
      </c>
      <c r="AN15">
        <v>70</v>
      </c>
      <c r="AO15">
        <v>0.7</v>
      </c>
      <c r="AP15">
        <v>0.23</v>
      </c>
      <c r="AQ15" s="2">
        <v>2.1</v>
      </c>
      <c r="AR15" s="2">
        <v>24.2</v>
      </c>
      <c r="AS15">
        <v>5.6</v>
      </c>
      <c r="AT15">
        <v>31</v>
      </c>
      <c r="AV15">
        <v>36.200000000000003</v>
      </c>
      <c r="AW15" s="2">
        <v>5.49</v>
      </c>
      <c r="AX15">
        <v>0.04</v>
      </c>
      <c r="AY15" s="2">
        <v>13.1</v>
      </c>
      <c r="AZ15">
        <v>29</v>
      </c>
      <c r="BA15">
        <v>90</v>
      </c>
      <c r="BB15" s="2">
        <v>49</v>
      </c>
      <c r="BC15">
        <v>5.5</v>
      </c>
      <c r="BD15" s="2">
        <v>80.8</v>
      </c>
      <c r="BE15">
        <v>461</v>
      </c>
      <c r="BF15">
        <v>5.7</v>
      </c>
      <c r="BG15" s="2">
        <v>16.100000000000001</v>
      </c>
      <c r="BH15">
        <v>3.23</v>
      </c>
      <c r="BI15">
        <v>3.3</v>
      </c>
      <c r="BJ15" s="2">
        <v>1</v>
      </c>
      <c r="BK15">
        <v>1115</v>
      </c>
      <c r="BM15">
        <v>2.7</v>
      </c>
      <c r="BN15">
        <v>2.7</v>
      </c>
      <c r="BO15" s="2">
        <v>8.9</v>
      </c>
      <c r="BP15">
        <v>341</v>
      </c>
      <c r="BQ15">
        <v>0.4</v>
      </c>
      <c r="BR15" s="2">
        <v>8.8000000000000007</v>
      </c>
      <c r="BS15">
        <v>99</v>
      </c>
      <c r="BT15">
        <v>2.2200000000000002</v>
      </c>
      <c r="BU15" s="2">
        <v>23.3</v>
      </c>
      <c r="BV15" s="1">
        <v>1.1100000000000001</v>
      </c>
      <c r="BW15">
        <v>0.3</v>
      </c>
      <c r="BX15">
        <v>0.24</v>
      </c>
      <c r="BY15" s="4">
        <v>8.9999999999999993E-3</v>
      </c>
      <c r="BZ15">
        <v>0.04</v>
      </c>
      <c r="CA15">
        <v>1.75</v>
      </c>
      <c r="CB15" s="2">
        <v>11.9</v>
      </c>
      <c r="CC15">
        <v>0.1</v>
      </c>
      <c r="CF15">
        <v>27</v>
      </c>
      <c r="CG15" s="2">
        <v>76</v>
      </c>
      <c r="CI15">
        <v>0.2</v>
      </c>
      <c r="CJ15">
        <v>2.1</v>
      </c>
      <c r="CK15" s="2">
        <v>23.9</v>
      </c>
      <c r="CL15" s="2">
        <v>6.1</v>
      </c>
      <c r="CM15">
        <v>27</v>
      </c>
      <c r="CN15" s="2">
        <v>3</v>
      </c>
      <c r="CO15">
        <v>37</v>
      </c>
      <c r="CP15" s="1">
        <v>1.59</v>
      </c>
      <c r="CQ15">
        <v>0.93</v>
      </c>
      <c r="CR15" s="1">
        <v>0.51</v>
      </c>
      <c r="CS15">
        <v>7</v>
      </c>
      <c r="CT15" s="1">
        <v>1.95</v>
      </c>
      <c r="CV15">
        <v>1</v>
      </c>
      <c r="CW15">
        <v>0.28999999999999998</v>
      </c>
      <c r="CY15" s="2">
        <v>13.2</v>
      </c>
      <c r="CZ15">
        <v>25</v>
      </c>
      <c r="DA15">
        <v>0.16</v>
      </c>
      <c r="DB15">
        <v>53</v>
      </c>
      <c r="DC15">
        <v>6</v>
      </c>
      <c r="DD15" s="2">
        <v>10.9</v>
      </c>
      <c r="DE15">
        <v>78</v>
      </c>
      <c r="DF15">
        <v>7</v>
      </c>
      <c r="DG15" s="1">
        <v>3.03</v>
      </c>
      <c r="DH15" s="2">
        <v>17.600000000000001</v>
      </c>
      <c r="DI15">
        <v>3.5</v>
      </c>
      <c r="DK15" s="2">
        <v>1.9</v>
      </c>
      <c r="DL15">
        <v>4</v>
      </c>
      <c r="DM15">
        <v>1063</v>
      </c>
      <c r="DO15" s="1">
        <v>0.28000000000000003</v>
      </c>
      <c r="DQ15">
        <v>2.8</v>
      </c>
      <c r="DR15">
        <v>3.1</v>
      </c>
      <c r="DS15">
        <v>0.15</v>
      </c>
      <c r="DT15" s="1">
        <v>9.42</v>
      </c>
      <c r="DU15">
        <v>413</v>
      </c>
      <c r="DW15" s="2">
        <v>9.9</v>
      </c>
      <c r="DX15" s="2">
        <v>0.9</v>
      </c>
      <c r="DY15">
        <v>108</v>
      </c>
      <c r="DZ15">
        <v>53.5</v>
      </c>
      <c r="EA15" s="1">
        <v>3.99</v>
      </c>
      <c r="EB15" s="2">
        <v>33.200000000000003</v>
      </c>
      <c r="ED15" s="1">
        <v>1.62</v>
      </c>
      <c r="EE15">
        <v>0.34</v>
      </c>
      <c r="EF15" s="2">
        <v>31.7</v>
      </c>
      <c r="EG15" s="1">
        <v>0.37</v>
      </c>
      <c r="EI15">
        <v>0.04</v>
      </c>
      <c r="EJ15" s="1">
        <v>0.09</v>
      </c>
      <c r="EK15" s="2">
        <v>24.9</v>
      </c>
      <c r="EL15">
        <v>0.16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E331-1435-4690-8A3A-88CB3094C644}">
  <dimension ref="A1:Q115"/>
  <sheetViews>
    <sheetView workbookViewId="0">
      <selection activeCell="B4" sqref="B4"/>
    </sheetView>
  </sheetViews>
  <sheetFormatPr defaultRowHeight="15" x14ac:dyDescent="0.25"/>
  <cols>
    <col min="1" max="1" width="7.7109375" bestFit="1" customWidth="1"/>
    <col min="2" max="2" width="9.140625" style="3" bestFit="1" customWidth="1"/>
    <col min="3" max="3" width="9" style="1" bestFit="1" customWidth="1"/>
    <col min="4" max="4" width="10.85546875" bestFit="1" customWidth="1"/>
    <col min="5" max="5" width="7.42578125" style="2" bestFit="1" customWidth="1"/>
    <col min="6" max="6" width="7.28515625" style="1" bestFit="1" customWidth="1"/>
    <col min="7" max="7" width="4.5703125" style="1" bestFit="1" customWidth="1"/>
    <col min="8" max="8" width="5.5703125" style="1" bestFit="1" customWidth="1"/>
    <col min="9" max="9" width="4.5703125" style="1" bestFit="1" customWidth="1"/>
    <col min="10" max="10" width="5.7109375" style="2" bestFit="1" customWidth="1"/>
    <col min="11" max="11" width="12.140625" style="1" bestFit="1" customWidth="1"/>
    <col min="12" max="12" width="11.140625" style="1" bestFit="1" customWidth="1"/>
    <col min="13" max="13" width="10.140625" style="1" bestFit="1" customWidth="1"/>
    <col min="14" max="14" width="9.140625" style="1"/>
  </cols>
  <sheetData>
    <row r="1" spans="1:17" x14ac:dyDescent="0.25">
      <c r="A1" t="s">
        <v>146</v>
      </c>
      <c r="B1" s="3" t="s">
        <v>147</v>
      </c>
      <c r="C1" s="1" t="s">
        <v>161</v>
      </c>
      <c r="D1" t="s">
        <v>82</v>
      </c>
      <c r="E1" s="2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2" t="s">
        <v>167</v>
      </c>
      <c r="K1" s="1" t="s">
        <v>168</v>
      </c>
      <c r="L1" s="1" t="s">
        <v>169</v>
      </c>
      <c r="M1" s="1" t="s">
        <v>170</v>
      </c>
    </row>
    <row r="2" spans="1:17" x14ac:dyDescent="0.25">
      <c r="A2" t="s">
        <v>83</v>
      </c>
      <c r="B2" s="3" t="s">
        <v>84</v>
      </c>
      <c r="C2" s="1">
        <v>5.34</v>
      </c>
      <c r="D2" t="s">
        <v>85</v>
      </c>
      <c r="E2" s="2">
        <v>101.9</v>
      </c>
      <c r="G2" s="1">
        <v>1.1776249999999999</v>
      </c>
      <c r="H2" s="1">
        <v>31.69774</v>
      </c>
      <c r="I2" s="1">
        <v>1.530913</v>
      </c>
      <c r="J2" s="2">
        <v>424</v>
      </c>
    </row>
    <row r="3" spans="1:17" x14ac:dyDescent="0.25">
      <c r="A3" t="s">
        <v>83</v>
      </c>
      <c r="B3" s="3" t="s">
        <v>84</v>
      </c>
      <c r="C3" s="1">
        <v>4.8499999999999996</v>
      </c>
      <c r="D3" t="s">
        <v>85</v>
      </c>
      <c r="E3" s="2">
        <v>101.4</v>
      </c>
      <c r="G3" s="1">
        <v>1.2524649999999999</v>
      </c>
      <c r="H3" s="1">
        <v>31.824459999999998</v>
      </c>
      <c r="I3" s="1">
        <v>1.538462</v>
      </c>
      <c r="J3" s="2">
        <v>423</v>
      </c>
    </row>
    <row r="4" spans="1:17" x14ac:dyDescent="0.25">
      <c r="A4" t="s">
        <v>83</v>
      </c>
      <c r="B4" s="3" t="s">
        <v>84</v>
      </c>
      <c r="C4" s="1">
        <v>5.2</v>
      </c>
      <c r="D4" t="s">
        <v>85</v>
      </c>
      <c r="E4" s="2">
        <v>100.3</v>
      </c>
      <c r="G4" s="1">
        <v>1.13659</v>
      </c>
      <c r="H4" s="1">
        <v>31.90429</v>
      </c>
      <c r="I4" s="1">
        <v>1.465603</v>
      </c>
      <c r="J4" s="2">
        <v>427</v>
      </c>
    </row>
    <row r="5" spans="1:17" x14ac:dyDescent="0.25">
      <c r="A5" t="s">
        <v>83</v>
      </c>
      <c r="B5" s="3" t="s">
        <v>86</v>
      </c>
      <c r="C5" s="1">
        <v>5.27</v>
      </c>
      <c r="D5" t="s">
        <v>85</v>
      </c>
      <c r="E5" s="2">
        <v>101.4</v>
      </c>
      <c r="G5" s="1">
        <v>1.2130179999999999</v>
      </c>
      <c r="H5" s="1">
        <v>31.952660000000002</v>
      </c>
      <c r="I5" s="1">
        <v>1.469428</v>
      </c>
      <c r="J5" s="2">
        <v>424</v>
      </c>
    </row>
    <row r="6" spans="1:17" x14ac:dyDescent="0.25">
      <c r="A6" t="s">
        <v>83</v>
      </c>
      <c r="B6" s="3" t="s">
        <v>86</v>
      </c>
      <c r="C6" s="1">
        <v>4.8600000000000003</v>
      </c>
      <c r="D6" t="s">
        <v>85</v>
      </c>
      <c r="E6" s="2">
        <v>100.9</v>
      </c>
      <c r="G6" s="1">
        <v>1.1298319999999999</v>
      </c>
      <c r="H6" s="1">
        <v>31.704660000000001</v>
      </c>
      <c r="I6" s="1">
        <v>1.347869</v>
      </c>
      <c r="J6" s="2">
        <v>427</v>
      </c>
    </row>
    <row r="7" spans="1:17" x14ac:dyDescent="0.25">
      <c r="A7" t="s">
        <v>83</v>
      </c>
      <c r="B7" s="3" t="s">
        <v>86</v>
      </c>
      <c r="C7" s="1">
        <v>5.16</v>
      </c>
      <c r="D7" t="s">
        <v>85</v>
      </c>
      <c r="E7" s="2">
        <v>101.8</v>
      </c>
      <c r="G7" s="1">
        <v>1.0805499999999999</v>
      </c>
      <c r="H7" s="1">
        <v>32.003929999999997</v>
      </c>
      <c r="I7" s="1">
        <v>1.2573669999999999</v>
      </c>
      <c r="J7" s="2">
        <v>424</v>
      </c>
    </row>
    <row r="8" spans="1:17" x14ac:dyDescent="0.25">
      <c r="A8" t="s">
        <v>83</v>
      </c>
      <c r="B8" s="3" t="s">
        <v>87</v>
      </c>
      <c r="C8" s="1">
        <v>5.27</v>
      </c>
      <c r="D8" t="s">
        <v>85</v>
      </c>
      <c r="E8" s="2">
        <v>100.3</v>
      </c>
      <c r="G8" s="1">
        <v>1.2091179999999999</v>
      </c>
      <c r="H8" s="1">
        <v>31.54609</v>
      </c>
      <c r="I8" s="1">
        <v>1.139742</v>
      </c>
      <c r="J8" s="2">
        <v>424</v>
      </c>
    </row>
    <row r="9" spans="1:17" x14ac:dyDescent="0.25">
      <c r="A9" t="s">
        <v>83</v>
      </c>
      <c r="B9" s="3" t="s">
        <v>87</v>
      </c>
      <c r="C9" s="1">
        <v>5.22</v>
      </c>
      <c r="D9" t="s">
        <v>85</v>
      </c>
      <c r="E9" s="2">
        <v>101.1</v>
      </c>
      <c r="G9" s="1">
        <v>1.25</v>
      </c>
      <c r="H9" s="1">
        <v>32.04365</v>
      </c>
      <c r="I9" s="1">
        <v>1.140873</v>
      </c>
      <c r="J9" s="2">
        <v>426</v>
      </c>
    </row>
    <row r="10" spans="1:17" x14ac:dyDescent="0.25">
      <c r="A10" t="s">
        <v>83</v>
      </c>
      <c r="B10" s="3" t="s">
        <v>87</v>
      </c>
      <c r="C10" s="1">
        <v>5.22</v>
      </c>
      <c r="D10" t="s">
        <v>85</v>
      </c>
      <c r="E10" s="2">
        <v>100.2</v>
      </c>
      <c r="G10" s="1">
        <v>1.2761709999999999</v>
      </c>
      <c r="H10" s="1">
        <v>31.724820000000001</v>
      </c>
      <c r="I10" s="1">
        <v>1.1864410000000001</v>
      </c>
      <c r="J10" s="2">
        <v>424</v>
      </c>
    </row>
    <row r="11" spans="1:17" x14ac:dyDescent="0.25">
      <c r="A11" t="s">
        <v>83</v>
      </c>
      <c r="B11" s="3" t="s">
        <v>84</v>
      </c>
      <c r="C11" s="1">
        <v>5.34</v>
      </c>
      <c r="D11" t="s">
        <v>88</v>
      </c>
      <c r="E11" s="2">
        <v>71.3</v>
      </c>
      <c r="F11" s="1">
        <v>5.09</v>
      </c>
      <c r="G11" s="1">
        <v>1.24</v>
      </c>
      <c r="H11" s="1">
        <v>29.56</v>
      </c>
      <c r="I11" s="1">
        <v>0.7</v>
      </c>
      <c r="J11" s="2">
        <v>429</v>
      </c>
      <c r="Q11" s="13"/>
    </row>
    <row r="12" spans="1:17" x14ac:dyDescent="0.25">
      <c r="A12" t="s">
        <v>83</v>
      </c>
      <c r="B12" s="3" t="s">
        <v>84</v>
      </c>
      <c r="C12" s="1">
        <v>4.8499999999999996</v>
      </c>
      <c r="D12" t="s">
        <v>88</v>
      </c>
      <c r="E12" s="2">
        <v>71.400000000000006</v>
      </c>
      <c r="F12" s="1">
        <v>5.12</v>
      </c>
      <c r="G12" s="1">
        <v>1.21</v>
      </c>
      <c r="H12" s="1">
        <v>28.4</v>
      </c>
      <c r="I12" s="1">
        <v>0.62</v>
      </c>
      <c r="J12" s="2">
        <v>424</v>
      </c>
    </row>
    <row r="13" spans="1:17" x14ac:dyDescent="0.25">
      <c r="A13" t="s">
        <v>83</v>
      </c>
      <c r="B13" s="3" t="s">
        <v>84</v>
      </c>
      <c r="C13" s="1">
        <v>5.2</v>
      </c>
      <c r="D13" t="s">
        <v>88</v>
      </c>
      <c r="E13" s="2">
        <v>71.099999999999994</v>
      </c>
      <c r="F13" s="1">
        <v>5.1100000000000003</v>
      </c>
      <c r="G13" s="1">
        <v>1.36</v>
      </c>
      <c r="H13" s="1">
        <v>29.11</v>
      </c>
      <c r="I13" s="1">
        <v>0.64</v>
      </c>
      <c r="J13" s="2">
        <v>424</v>
      </c>
    </row>
    <row r="14" spans="1:17" x14ac:dyDescent="0.25">
      <c r="A14" t="s">
        <v>83</v>
      </c>
      <c r="B14" s="3" t="s">
        <v>86</v>
      </c>
      <c r="C14" s="1">
        <v>5.27</v>
      </c>
      <c r="D14" t="s">
        <v>88</v>
      </c>
      <c r="E14" s="2">
        <v>70.400000000000006</v>
      </c>
      <c r="F14" s="1">
        <v>5.1100000000000003</v>
      </c>
      <c r="G14" s="1">
        <v>1.33</v>
      </c>
      <c r="H14" s="1">
        <v>29.8</v>
      </c>
      <c r="I14" s="1">
        <v>0.62</v>
      </c>
      <c r="J14" s="2">
        <v>427</v>
      </c>
    </row>
    <row r="15" spans="1:17" x14ac:dyDescent="0.25">
      <c r="A15" t="s">
        <v>83</v>
      </c>
      <c r="B15" s="3" t="s">
        <v>86</v>
      </c>
      <c r="C15" s="1">
        <v>4.8600000000000003</v>
      </c>
      <c r="D15" t="s">
        <v>88</v>
      </c>
      <c r="E15" s="2">
        <v>70.5</v>
      </c>
      <c r="F15" s="1">
        <v>5.12</v>
      </c>
      <c r="G15" s="1">
        <v>1.35</v>
      </c>
      <c r="H15" s="1">
        <v>29.76</v>
      </c>
      <c r="I15" s="1">
        <v>0.67</v>
      </c>
      <c r="J15" s="2">
        <v>426</v>
      </c>
    </row>
    <row r="16" spans="1:17" x14ac:dyDescent="0.25">
      <c r="A16" t="s">
        <v>83</v>
      </c>
      <c r="B16" s="3" t="s">
        <v>86</v>
      </c>
      <c r="C16" s="1">
        <v>5.16</v>
      </c>
      <c r="D16" t="s">
        <v>88</v>
      </c>
      <c r="E16" s="2">
        <v>69.7</v>
      </c>
      <c r="F16" s="1">
        <v>5.0999999999999996</v>
      </c>
      <c r="G16" s="1">
        <v>1.22</v>
      </c>
      <c r="H16" s="1">
        <v>27.85</v>
      </c>
      <c r="I16" s="1">
        <v>0.64</v>
      </c>
      <c r="J16" s="2">
        <v>426</v>
      </c>
    </row>
    <row r="17" spans="1:10" x14ac:dyDescent="0.25">
      <c r="A17" t="s">
        <v>83</v>
      </c>
      <c r="B17" s="3" t="s">
        <v>87</v>
      </c>
      <c r="C17" s="1">
        <v>5.27</v>
      </c>
      <c r="D17" t="s">
        <v>88</v>
      </c>
      <c r="E17" s="2">
        <v>73.099999999999994</v>
      </c>
      <c r="F17" s="1">
        <v>5.01</v>
      </c>
      <c r="G17" s="1">
        <v>1.29</v>
      </c>
      <c r="H17" s="1">
        <v>29.26</v>
      </c>
      <c r="I17" s="1">
        <v>0.71</v>
      </c>
      <c r="J17" s="2">
        <v>425</v>
      </c>
    </row>
    <row r="18" spans="1:10" x14ac:dyDescent="0.25">
      <c r="A18" t="s">
        <v>83</v>
      </c>
      <c r="B18" s="3" t="s">
        <v>87</v>
      </c>
      <c r="C18" s="1">
        <v>5.22</v>
      </c>
      <c r="D18" t="s">
        <v>88</v>
      </c>
      <c r="E18" s="2">
        <v>70.400000000000006</v>
      </c>
      <c r="F18" s="1">
        <v>5.09</v>
      </c>
      <c r="G18" s="1">
        <v>1.42</v>
      </c>
      <c r="H18" s="1">
        <v>29.38</v>
      </c>
      <c r="I18" s="1">
        <v>0.64</v>
      </c>
      <c r="J18" s="2">
        <v>424</v>
      </c>
    </row>
    <row r="19" spans="1:10" x14ac:dyDescent="0.25">
      <c r="A19" t="s">
        <v>83</v>
      </c>
      <c r="B19" s="3" t="s">
        <v>87</v>
      </c>
      <c r="C19" s="1">
        <v>5.22</v>
      </c>
      <c r="D19" t="s">
        <v>88</v>
      </c>
      <c r="E19" s="2">
        <v>72.8</v>
      </c>
      <c r="F19" s="1">
        <v>5.1100000000000003</v>
      </c>
      <c r="G19" s="1">
        <v>1.34</v>
      </c>
      <c r="H19" s="1">
        <v>29.74</v>
      </c>
      <c r="I19" s="1">
        <v>0.67</v>
      </c>
      <c r="J19" s="2">
        <v>428</v>
      </c>
    </row>
    <row r="20" spans="1:10" x14ac:dyDescent="0.25">
      <c r="A20" t="s">
        <v>83</v>
      </c>
      <c r="B20" s="3" t="s">
        <v>84</v>
      </c>
      <c r="C20" s="1">
        <v>5.34</v>
      </c>
      <c r="D20" t="s">
        <v>89</v>
      </c>
      <c r="E20" s="2">
        <v>76.5</v>
      </c>
      <c r="F20" s="1">
        <v>5.2966350000000002</v>
      </c>
      <c r="G20" s="1">
        <v>1.21</v>
      </c>
      <c r="H20" s="1">
        <v>30.7</v>
      </c>
      <c r="I20" s="1">
        <v>0.76</v>
      </c>
      <c r="J20" s="2">
        <v>426</v>
      </c>
    </row>
    <row r="21" spans="1:10" x14ac:dyDescent="0.25">
      <c r="A21" t="s">
        <v>83</v>
      </c>
      <c r="B21" s="3" t="s">
        <v>84</v>
      </c>
      <c r="C21" s="1">
        <v>4.8499999999999996</v>
      </c>
      <c r="D21" t="s">
        <v>89</v>
      </c>
      <c r="E21" s="2">
        <v>75.8</v>
      </c>
      <c r="F21" s="1">
        <v>5.385497</v>
      </c>
      <c r="G21" s="1">
        <v>1.1599999999999999</v>
      </c>
      <c r="H21" s="1">
        <v>30.98</v>
      </c>
      <c r="I21" s="1">
        <v>0.7</v>
      </c>
      <c r="J21" s="2">
        <v>425</v>
      </c>
    </row>
    <row r="22" spans="1:10" x14ac:dyDescent="0.25">
      <c r="A22" t="s">
        <v>83</v>
      </c>
      <c r="B22" s="3" t="s">
        <v>84</v>
      </c>
      <c r="C22" s="1">
        <v>5.2</v>
      </c>
      <c r="D22" t="s">
        <v>89</v>
      </c>
      <c r="E22" s="2">
        <v>74.900000000000006</v>
      </c>
      <c r="F22" s="1">
        <v>5.2935759999999998</v>
      </c>
      <c r="G22" s="1">
        <v>1.07</v>
      </c>
      <c r="H22" s="1">
        <v>30.61</v>
      </c>
      <c r="I22" s="1">
        <v>0.75</v>
      </c>
      <c r="J22" s="2">
        <v>427</v>
      </c>
    </row>
    <row r="23" spans="1:10" x14ac:dyDescent="0.25">
      <c r="A23" t="s">
        <v>83</v>
      </c>
      <c r="B23" s="3" t="s">
        <v>86</v>
      </c>
      <c r="C23" s="1">
        <v>5.27</v>
      </c>
      <c r="D23" t="s">
        <v>89</v>
      </c>
      <c r="E23" s="2">
        <v>74.8</v>
      </c>
      <c r="F23" s="1">
        <v>5.3795060000000001</v>
      </c>
      <c r="G23" s="1">
        <v>1.24</v>
      </c>
      <c r="H23" s="1">
        <v>31.07</v>
      </c>
      <c r="I23" s="1">
        <v>0.74</v>
      </c>
      <c r="J23" s="2">
        <v>425</v>
      </c>
    </row>
    <row r="24" spans="1:10" x14ac:dyDescent="0.25">
      <c r="A24" t="s">
        <v>83</v>
      </c>
      <c r="B24" s="3" t="s">
        <v>86</v>
      </c>
      <c r="C24" s="1">
        <v>4.8600000000000003</v>
      </c>
      <c r="D24" t="s">
        <v>89</v>
      </c>
      <c r="E24" s="2">
        <v>75.900000000000006</v>
      </c>
      <c r="F24" s="1">
        <v>5.4635449999999999</v>
      </c>
      <c r="G24" s="1">
        <v>1.17</v>
      </c>
      <c r="H24" s="1">
        <v>31.63</v>
      </c>
      <c r="I24" s="1">
        <v>0.73</v>
      </c>
      <c r="J24" s="2">
        <v>425</v>
      </c>
    </row>
    <row r="25" spans="1:10" x14ac:dyDescent="0.25">
      <c r="A25" t="s">
        <v>83</v>
      </c>
      <c r="B25" s="3" t="s">
        <v>86</v>
      </c>
      <c r="C25" s="1">
        <v>5.16</v>
      </c>
      <c r="D25" t="s">
        <v>89</v>
      </c>
      <c r="E25" s="2">
        <v>74.599999999999994</v>
      </c>
      <c r="F25" s="1">
        <v>5.4637000000000002</v>
      </c>
      <c r="G25" s="1">
        <v>1.1000000000000001</v>
      </c>
      <c r="H25" s="1">
        <v>31.41</v>
      </c>
      <c r="I25" s="1">
        <v>0.72</v>
      </c>
      <c r="J25" s="2">
        <v>426</v>
      </c>
    </row>
    <row r="26" spans="1:10" x14ac:dyDescent="0.25">
      <c r="A26" t="s">
        <v>83</v>
      </c>
      <c r="B26" s="3" t="s">
        <v>87</v>
      </c>
      <c r="C26" s="1">
        <v>5.27</v>
      </c>
      <c r="D26" t="s">
        <v>89</v>
      </c>
      <c r="E26" s="2">
        <v>75.7</v>
      </c>
      <c r="F26" s="1">
        <v>5.4657099999999996</v>
      </c>
      <c r="G26" s="1">
        <v>1.34</v>
      </c>
      <c r="H26" s="1">
        <v>31.79</v>
      </c>
      <c r="I26" s="1">
        <v>0.76</v>
      </c>
      <c r="J26" s="2">
        <v>426</v>
      </c>
    </row>
    <row r="27" spans="1:10" x14ac:dyDescent="0.25">
      <c r="A27" t="s">
        <v>83</v>
      </c>
      <c r="B27" s="3" t="s">
        <v>87</v>
      </c>
      <c r="C27" s="1">
        <v>5.22</v>
      </c>
      <c r="D27" t="s">
        <v>89</v>
      </c>
      <c r="E27" s="2">
        <v>74.400000000000006</v>
      </c>
      <c r="F27" s="1">
        <v>5.4547889999999999</v>
      </c>
      <c r="G27" s="1">
        <v>1.23</v>
      </c>
      <c r="H27" s="1">
        <v>31.92</v>
      </c>
      <c r="I27" s="1">
        <v>0.74</v>
      </c>
      <c r="J27" s="2">
        <v>424</v>
      </c>
    </row>
    <row r="28" spans="1:10" x14ac:dyDescent="0.25">
      <c r="A28" t="s">
        <v>83</v>
      </c>
      <c r="B28" s="3" t="s">
        <v>87</v>
      </c>
      <c r="C28" s="1">
        <v>5.22</v>
      </c>
      <c r="D28" t="s">
        <v>89</v>
      </c>
      <c r="E28" s="2">
        <v>75.3</v>
      </c>
      <c r="F28" s="1">
        <v>5.4942919999999997</v>
      </c>
      <c r="G28" s="1">
        <v>1.19</v>
      </c>
      <c r="H28" s="1">
        <v>31.95</v>
      </c>
      <c r="I28" s="1">
        <v>0.74</v>
      </c>
      <c r="J28" s="2">
        <v>427</v>
      </c>
    </row>
    <row r="29" spans="1:10" x14ac:dyDescent="0.25">
      <c r="A29" t="s">
        <v>90</v>
      </c>
      <c r="B29" s="3">
        <v>16</v>
      </c>
      <c r="C29" s="1">
        <v>5.12</v>
      </c>
      <c r="D29" t="s">
        <v>89</v>
      </c>
      <c r="G29" s="1">
        <v>1.32</v>
      </c>
      <c r="H29" s="1">
        <v>30.04</v>
      </c>
      <c r="I29" s="1">
        <v>0.74</v>
      </c>
      <c r="J29" s="2">
        <v>423.6</v>
      </c>
    </row>
    <row r="30" spans="1:10" x14ac:dyDescent="0.25">
      <c r="A30" t="s">
        <v>90</v>
      </c>
      <c r="B30" s="3">
        <v>16</v>
      </c>
      <c r="C30" s="1">
        <v>5.01</v>
      </c>
      <c r="D30" t="s">
        <v>89</v>
      </c>
      <c r="G30" s="1">
        <v>1.24</v>
      </c>
      <c r="H30" s="1">
        <v>28.87</v>
      </c>
      <c r="I30" s="1">
        <v>0.77</v>
      </c>
      <c r="J30" s="2">
        <v>423.5</v>
      </c>
    </row>
    <row r="31" spans="1:10" x14ac:dyDescent="0.25">
      <c r="A31" t="s">
        <v>90</v>
      </c>
      <c r="B31" s="3">
        <v>16</v>
      </c>
      <c r="C31" s="1">
        <v>4.93</v>
      </c>
      <c r="D31" t="s">
        <v>89</v>
      </c>
      <c r="G31" s="1">
        <v>1.23</v>
      </c>
      <c r="H31" s="1">
        <v>29.8</v>
      </c>
      <c r="I31" s="1">
        <v>0.78</v>
      </c>
      <c r="J31" s="2">
        <v>424.6</v>
      </c>
    </row>
    <row r="32" spans="1:10" x14ac:dyDescent="0.25">
      <c r="A32" t="s">
        <v>90</v>
      </c>
      <c r="B32" s="3">
        <v>1030</v>
      </c>
      <c r="C32" s="1">
        <v>5.01</v>
      </c>
      <c r="D32" t="s">
        <v>89</v>
      </c>
      <c r="G32" s="1">
        <v>1.38</v>
      </c>
      <c r="H32" s="1">
        <v>29.85</v>
      </c>
      <c r="I32" s="1">
        <v>0.69</v>
      </c>
      <c r="J32" s="2">
        <v>423.1</v>
      </c>
    </row>
    <row r="33" spans="1:12" x14ac:dyDescent="0.25">
      <c r="A33" t="s">
        <v>90</v>
      </c>
      <c r="B33" s="3">
        <v>1030</v>
      </c>
      <c r="C33" s="1">
        <v>4.97</v>
      </c>
      <c r="D33" t="s">
        <v>89</v>
      </c>
      <c r="G33" s="1">
        <v>1.19</v>
      </c>
      <c r="H33" s="1">
        <v>29.69</v>
      </c>
      <c r="I33" s="1">
        <v>0.79</v>
      </c>
      <c r="J33" s="2">
        <v>425</v>
      </c>
    </row>
    <row r="34" spans="1:12" x14ac:dyDescent="0.25">
      <c r="A34" t="s">
        <v>90</v>
      </c>
      <c r="B34" s="3">
        <v>1030</v>
      </c>
      <c r="C34" s="1">
        <v>5.03</v>
      </c>
      <c r="D34" t="s">
        <v>89</v>
      </c>
      <c r="G34" s="1">
        <v>1.26</v>
      </c>
      <c r="H34" s="1">
        <v>29.63</v>
      </c>
      <c r="I34" s="1">
        <v>0.73</v>
      </c>
      <c r="J34" s="2">
        <v>423.3</v>
      </c>
    </row>
    <row r="35" spans="1:12" x14ac:dyDescent="0.25">
      <c r="A35" t="s">
        <v>90</v>
      </c>
      <c r="B35" s="3">
        <v>1179</v>
      </c>
      <c r="C35" s="1">
        <v>5.03</v>
      </c>
      <c r="D35" t="s">
        <v>89</v>
      </c>
      <c r="G35" s="1">
        <v>1.1200000000000001</v>
      </c>
      <c r="H35" s="1">
        <v>29.25</v>
      </c>
      <c r="I35" s="1">
        <v>0.83</v>
      </c>
      <c r="J35" s="2">
        <v>424.5</v>
      </c>
    </row>
    <row r="36" spans="1:12" x14ac:dyDescent="0.25">
      <c r="A36" t="s">
        <v>90</v>
      </c>
      <c r="B36" s="3">
        <v>1179</v>
      </c>
      <c r="C36" s="1">
        <v>4.97</v>
      </c>
      <c r="D36" t="s">
        <v>89</v>
      </c>
      <c r="G36" s="1">
        <v>1.23</v>
      </c>
      <c r="H36" s="1">
        <v>29.99</v>
      </c>
      <c r="I36" s="1">
        <v>0.76</v>
      </c>
      <c r="J36" s="2">
        <v>425.1</v>
      </c>
    </row>
    <row r="37" spans="1:12" x14ac:dyDescent="0.25">
      <c r="A37" t="s">
        <v>90</v>
      </c>
      <c r="B37" s="3">
        <v>1179</v>
      </c>
      <c r="C37" s="1">
        <v>5.0199999999999996</v>
      </c>
      <c r="D37" t="s">
        <v>89</v>
      </c>
      <c r="G37" s="1">
        <v>1.32</v>
      </c>
      <c r="H37" s="1">
        <v>29.88</v>
      </c>
      <c r="I37" s="1">
        <v>0.74</v>
      </c>
      <c r="J37" s="2">
        <v>424.2</v>
      </c>
    </row>
    <row r="38" spans="1:12" x14ac:dyDescent="0.25">
      <c r="A38" t="s">
        <v>90</v>
      </c>
      <c r="B38" s="3">
        <v>1896</v>
      </c>
      <c r="C38" s="1">
        <v>4.9800000000000004</v>
      </c>
      <c r="D38" t="s">
        <v>89</v>
      </c>
      <c r="G38" s="1">
        <v>1.45</v>
      </c>
      <c r="H38" s="1">
        <v>29.75</v>
      </c>
      <c r="I38" s="1">
        <v>0.73</v>
      </c>
      <c r="J38" s="2">
        <v>423.4</v>
      </c>
    </row>
    <row r="39" spans="1:12" x14ac:dyDescent="0.25">
      <c r="A39" t="s">
        <v>90</v>
      </c>
      <c r="B39" s="3">
        <v>1896</v>
      </c>
      <c r="C39" s="1">
        <v>5.0199999999999996</v>
      </c>
      <c r="D39" t="s">
        <v>89</v>
      </c>
      <c r="G39" s="1">
        <v>1.07</v>
      </c>
      <c r="H39" s="1">
        <v>29.17</v>
      </c>
      <c r="I39" s="1">
        <v>0.79</v>
      </c>
      <c r="J39" s="2">
        <v>425.8</v>
      </c>
    </row>
    <row r="40" spans="1:12" x14ac:dyDescent="0.25">
      <c r="A40" t="s">
        <v>90</v>
      </c>
      <c r="B40" s="3">
        <v>1896</v>
      </c>
      <c r="C40" s="1">
        <v>4.9400000000000004</v>
      </c>
      <c r="D40" t="s">
        <v>89</v>
      </c>
      <c r="G40" s="1">
        <v>1.1100000000000001</v>
      </c>
      <c r="H40" s="1">
        <v>29.38</v>
      </c>
      <c r="I40" s="1">
        <v>0.72</v>
      </c>
      <c r="J40" s="2">
        <v>424.3</v>
      </c>
    </row>
    <row r="41" spans="1:12" x14ac:dyDescent="0.25">
      <c r="A41" t="s">
        <v>91</v>
      </c>
      <c r="B41" s="3" t="s">
        <v>92</v>
      </c>
      <c r="C41" s="1">
        <v>5.1100000000000003</v>
      </c>
      <c r="D41" t="s">
        <v>88</v>
      </c>
      <c r="F41" s="1">
        <v>4.9400000000000004</v>
      </c>
      <c r="G41" s="1">
        <v>1.28</v>
      </c>
      <c r="H41" s="1">
        <v>31.5</v>
      </c>
      <c r="I41" s="1">
        <v>0.95</v>
      </c>
      <c r="J41" s="2">
        <v>423</v>
      </c>
      <c r="L41" s="1">
        <v>6.29</v>
      </c>
    </row>
    <row r="42" spans="1:12" x14ac:dyDescent="0.25">
      <c r="A42" t="s">
        <v>91</v>
      </c>
      <c r="B42" s="3" t="s">
        <v>92</v>
      </c>
      <c r="C42" s="1">
        <v>5.16</v>
      </c>
      <c r="D42" t="s">
        <v>88</v>
      </c>
      <c r="F42" s="1">
        <v>4.87</v>
      </c>
      <c r="G42" s="1">
        <v>1.1599999999999999</v>
      </c>
      <c r="H42" s="1">
        <v>30.84</v>
      </c>
      <c r="I42" s="1">
        <v>0.93</v>
      </c>
      <c r="J42" s="2">
        <v>422</v>
      </c>
      <c r="L42" s="1">
        <v>6.28</v>
      </c>
    </row>
    <row r="43" spans="1:12" x14ac:dyDescent="0.25">
      <c r="A43" t="s">
        <v>91</v>
      </c>
      <c r="B43" s="3" t="s">
        <v>92</v>
      </c>
      <c r="C43" s="1">
        <v>5.16</v>
      </c>
      <c r="D43" t="s">
        <v>88</v>
      </c>
      <c r="F43" s="1">
        <v>5.03</v>
      </c>
      <c r="G43" s="1">
        <v>1.19</v>
      </c>
      <c r="H43" s="1">
        <v>30.59</v>
      </c>
      <c r="I43" s="1">
        <v>1.01</v>
      </c>
      <c r="J43" s="2">
        <v>422</v>
      </c>
      <c r="L43" s="1">
        <v>6.21</v>
      </c>
    </row>
    <row r="44" spans="1:12" x14ac:dyDescent="0.25">
      <c r="A44" t="s">
        <v>91</v>
      </c>
      <c r="B44" s="3" t="s">
        <v>93</v>
      </c>
      <c r="C44" s="1">
        <v>5.12</v>
      </c>
      <c r="D44" t="s">
        <v>88</v>
      </c>
      <c r="F44" s="1">
        <v>4.92</v>
      </c>
      <c r="G44" s="1">
        <v>1.2</v>
      </c>
      <c r="H44" s="1">
        <v>31.44</v>
      </c>
      <c r="I44" s="1">
        <v>1.01</v>
      </c>
      <c r="J44" s="2">
        <v>419</v>
      </c>
      <c r="L44" s="1">
        <v>6.37</v>
      </c>
    </row>
    <row r="45" spans="1:12" x14ac:dyDescent="0.25">
      <c r="A45" t="s">
        <v>91</v>
      </c>
      <c r="B45" s="3" t="s">
        <v>93</v>
      </c>
      <c r="C45" s="1">
        <v>5.08</v>
      </c>
      <c r="D45" t="s">
        <v>88</v>
      </c>
      <c r="F45" s="1">
        <v>4.91</v>
      </c>
      <c r="G45" s="1">
        <v>1.53</v>
      </c>
      <c r="H45" s="1">
        <v>30.8</v>
      </c>
      <c r="I45" s="1">
        <v>1.06</v>
      </c>
      <c r="J45" s="2">
        <v>420</v>
      </c>
      <c r="L45" s="1">
        <v>6.28</v>
      </c>
    </row>
    <row r="46" spans="1:12" x14ac:dyDescent="0.25">
      <c r="A46" t="s">
        <v>91</v>
      </c>
      <c r="B46" s="3" t="s">
        <v>93</v>
      </c>
      <c r="C46" s="1">
        <v>5.32</v>
      </c>
      <c r="D46" t="s">
        <v>88</v>
      </c>
      <c r="F46" s="1">
        <v>4.95</v>
      </c>
      <c r="G46" s="1">
        <v>1.27</v>
      </c>
      <c r="H46" s="1">
        <v>31.69</v>
      </c>
      <c r="I46" s="1">
        <v>0.95</v>
      </c>
      <c r="J46" s="2">
        <v>420</v>
      </c>
      <c r="L46" s="1">
        <v>6.27</v>
      </c>
    </row>
    <row r="47" spans="1:12" x14ac:dyDescent="0.25">
      <c r="A47" t="s">
        <v>91</v>
      </c>
      <c r="B47" s="3" t="s">
        <v>94</v>
      </c>
      <c r="C47" s="1">
        <v>5.2</v>
      </c>
      <c r="D47" t="s">
        <v>88</v>
      </c>
      <c r="F47" s="1">
        <v>4.8899999999999997</v>
      </c>
      <c r="G47" s="1">
        <v>1.29</v>
      </c>
      <c r="H47" s="1">
        <v>31.06</v>
      </c>
      <c r="I47" s="1">
        <v>0.97</v>
      </c>
      <c r="J47" s="2">
        <v>422</v>
      </c>
      <c r="L47" s="1">
        <v>6.3</v>
      </c>
    </row>
    <row r="48" spans="1:12" x14ac:dyDescent="0.25">
      <c r="A48" t="s">
        <v>91</v>
      </c>
      <c r="B48" s="3" t="s">
        <v>94</v>
      </c>
      <c r="C48" s="1">
        <v>5.19</v>
      </c>
      <c r="D48" t="s">
        <v>88</v>
      </c>
      <c r="F48" s="1">
        <v>4.84</v>
      </c>
      <c r="G48" s="1">
        <v>1.21</v>
      </c>
      <c r="H48" s="1">
        <v>31.25</v>
      </c>
      <c r="I48" s="1">
        <v>0.9</v>
      </c>
      <c r="J48" s="2">
        <v>420</v>
      </c>
      <c r="L48" s="1">
        <v>6.3</v>
      </c>
    </row>
    <row r="49" spans="1:13" x14ac:dyDescent="0.25">
      <c r="A49" t="s">
        <v>91</v>
      </c>
      <c r="B49" s="3" t="s">
        <v>94</v>
      </c>
      <c r="C49" s="1">
        <v>5.19</v>
      </c>
      <c r="D49" t="s">
        <v>88</v>
      </c>
      <c r="F49" s="1">
        <v>4.95</v>
      </c>
      <c r="G49" s="1">
        <v>1.37</v>
      </c>
      <c r="H49" s="1">
        <v>31.91</v>
      </c>
      <c r="I49" s="1">
        <v>0.96</v>
      </c>
      <c r="J49" s="2">
        <v>420</v>
      </c>
      <c r="L49" s="1">
        <v>6.24</v>
      </c>
    </row>
    <row r="50" spans="1:13" x14ac:dyDescent="0.25">
      <c r="A50" t="s">
        <v>95</v>
      </c>
      <c r="B50" s="3" t="s">
        <v>96</v>
      </c>
      <c r="D50" t="s">
        <v>88</v>
      </c>
      <c r="E50" s="2">
        <v>77.8</v>
      </c>
      <c r="F50" s="1">
        <v>4.8099999999999996</v>
      </c>
      <c r="G50" s="1">
        <v>1.36</v>
      </c>
      <c r="H50" s="1">
        <v>28.66</v>
      </c>
      <c r="I50" s="1">
        <v>0.77</v>
      </c>
      <c r="J50" s="2">
        <v>425</v>
      </c>
      <c r="L50" s="1">
        <v>6.88</v>
      </c>
    </row>
    <row r="51" spans="1:13" x14ac:dyDescent="0.25">
      <c r="A51" t="s">
        <v>95</v>
      </c>
      <c r="B51" s="3" t="s">
        <v>96</v>
      </c>
      <c r="D51" t="s">
        <v>88</v>
      </c>
      <c r="E51" s="2">
        <v>76.400000000000006</v>
      </c>
      <c r="F51" s="1">
        <v>4.82</v>
      </c>
      <c r="G51" s="1">
        <v>1.4</v>
      </c>
      <c r="H51" s="1">
        <v>28.83</v>
      </c>
      <c r="I51" s="1">
        <v>0.82</v>
      </c>
      <c r="J51" s="2">
        <v>425</v>
      </c>
      <c r="L51" s="1">
        <v>6.89</v>
      </c>
    </row>
    <row r="52" spans="1:13" x14ac:dyDescent="0.25">
      <c r="A52" t="s">
        <v>95</v>
      </c>
      <c r="B52" s="3" t="s">
        <v>96</v>
      </c>
      <c r="D52" t="s">
        <v>88</v>
      </c>
      <c r="E52" s="2">
        <v>76.400000000000006</v>
      </c>
      <c r="F52" s="1">
        <v>4.8600000000000003</v>
      </c>
      <c r="G52" s="1">
        <v>1.33</v>
      </c>
      <c r="H52" s="1">
        <v>28.73</v>
      </c>
      <c r="I52" s="1">
        <v>0.79</v>
      </c>
      <c r="J52" s="2">
        <v>424</v>
      </c>
      <c r="L52" s="1">
        <v>6.9</v>
      </c>
    </row>
    <row r="53" spans="1:13" x14ac:dyDescent="0.25">
      <c r="A53" t="s">
        <v>95</v>
      </c>
      <c r="B53" s="3" t="s">
        <v>97</v>
      </c>
      <c r="D53" t="s">
        <v>88</v>
      </c>
      <c r="E53" s="2">
        <v>77.7</v>
      </c>
      <c r="F53" s="1">
        <v>4.84</v>
      </c>
      <c r="G53" s="1">
        <v>1.41</v>
      </c>
      <c r="H53" s="1">
        <v>28.69</v>
      </c>
      <c r="I53" s="1">
        <v>0.79</v>
      </c>
      <c r="J53" s="2">
        <v>425</v>
      </c>
      <c r="L53" s="1">
        <v>6.92</v>
      </c>
    </row>
    <row r="54" spans="1:13" x14ac:dyDescent="0.25">
      <c r="A54" t="s">
        <v>95</v>
      </c>
      <c r="B54" s="3" t="s">
        <v>97</v>
      </c>
      <c r="D54" t="s">
        <v>88</v>
      </c>
      <c r="E54" s="2">
        <v>77.099999999999994</v>
      </c>
      <c r="F54" s="1">
        <v>4.83</v>
      </c>
      <c r="G54" s="1">
        <v>1.37</v>
      </c>
      <c r="H54" s="1">
        <v>28.66</v>
      </c>
      <c r="I54" s="1">
        <v>0.78</v>
      </c>
      <c r="J54" s="2">
        <v>423</v>
      </c>
      <c r="L54" s="1">
        <v>6.93</v>
      </c>
    </row>
    <row r="55" spans="1:13" x14ac:dyDescent="0.25">
      <c r="A55" t="s">
        <v>95</v>
      </c>
      <c r="B55" s="3" t="s">
        <v>97</v>
      </c>
      <c r="D55" t="s">
        <v>88</v>
      </c>
      <c r="E55" s="2">
        <v>74.5</v>
      </c>
      <c r="F55" s="1">
        <v>4.82</v>
      </c>
      <c r="G55" s="1">
        <v>1.35</v>
      </c>
      <c r="H55" s="1">
        <v>28.6</v>
      </c>
      <c r="I55" s="1">
        <v>0.79</v>
      </c>
      <c r="J55" s="2">
        <v>426</v>
      </c>
      <c r="L55" s="1">
        <v>6.93</v>
      </c>
    </row>
    <row r="56" spans="1:13" x14ac:dyDescent="0.25">
      <c r="A56" t="s">
        <v>95</v>
      </c>
      <c r="B56" s="3" t="s">
        <v>98</v>
      </c>
      <c r="D56" t="s">
        <v>88</v>
      </c>
      <c r="E56" s="2">
        <v>76.8</v>
      </c>
      <c r="F56" s="1">
        <v>4.8499999999999996</v>
      </c>
      <c r="G56" s="1">
        <v>1.34</v>
      </c>
      <c r="H56" s="1">
        <v>28.73</v>
      </c>
      <c r="I56" s="1">
        <v>0.77</v>
      </c>
      <c r="J56" s="2">
        <v>425</v>
      </c>
      <c r="L56" s="1">
        <v>6.96</v>
      </c>
    </row>
    <row r="57" spans="1:13" x14ac:dyDescent="0.25">
      <c r="A57" t="s">
        <v>95</v>
      </c>
      <c r="B57" s="3" t="s">
        <v>98</v>
      </c>
      <c r="D57" t="s">
        <v>88</v>
      </c>
      <c r="E57" s="2">
        <v>74.900000000000006</v>
      </c>
      <c r="F57" s="1">
        <v>4.8600000000000003</v>
      </c>
      <c r="G57" s="1">
        <v>1.37</v>
      </c>
      <c r="H57" s="1">
        <v>28.75</v>
      </c>
      <c r="I57" s="1">
        <v>0.79</v>
      </c>
      <c r="J57" s="2">
        <v>427</v>
      </c>
      <c r="L57" s="1">
        <v>6.94</v>
      </c>
    </row>
    <row r="58" spans="1:13" x14ac:dyDescent="0.25">
      <c r="A58" t="s">
        <v>95</v>
      </c>
      <c r="B58" s="3" t="s">
        <v>98</v>
      </c>
      <c r="D58" t="s">
        <v>88</v>
      </c>
      <c r="E58" s="2">
        <v>77.099999999999994</v>
      </c>
      <c r="F58" s="1">
        <v>4.83</v>
      </c>
      <c r="G58" s="1">
        <v>1.34</v>
      </c>
      <c r="H58" s="1">
        <v>28.48</v>
      </c>
      <c r="I58" s="1">
        <v>0.79</v>
      </c>
      <c r="J58" s="2">
        <v>426</v>
      </c>
      <c r="L58" s="1">
        <v>6.93</v>
      </c>
    </row>
    <row r="59" spans="1:13" x14ac:dyDescent="0.25">
      <c r="A59" t="s">
        <v>99</v>
      </c>
      <c r="B59" s="3" t="s">
        <v>100</v>
      </c>
      <c r="C59" s="1">
        <v>4.9800000000000004</v>
      </c>
      <c r="D59" t="s">
        <v>85</v>
      </c>
      <c r="G59" s="1">
        <v>1.38</v>
      </c>
      <c r="H59" s="1">
        <v>35.24</v>
      </c>
      <c r="I59" s="1">
        <v>0.81</v>
      </c>
      <c r="J59" s="2">
        <v>424</v>
      </c>
      <c r="M59" s="1">
        <v>62.57</v>
      </c>
    </row>
    <row r="60" spans="1:13" x14ac:dyDescent="0.25">
      <c r="A60" t="s">
        <v>99</v>
      </c>
      <c r="B60" s="3" t="s">
        <v>100</v>
      </c>
      <c r="C60" s="1">
        <v>5.04</v>
      </c>
      <c r="D60" t="s">
        <v>85</v>
      </c>
      <c r="G60" s="1">
        <v>1.35</v>
      </c>
      <c r="H60" s="1">
        <v>35.880000000000003</v>
      </c>
      <c r="I60" s="1">
        <v>0.83</v>
      </c>
      <c r="J60" s="2">
        <v>424</v>
      </c>
      <c r="M60" s="1">
        <v>62.57</v>
      </c>
    </row>
    <row r="61" spans="1:13" x14ac:dyDescent="0.25">
      <c r="A61" t="s">
        <v>99</v>
      </c>
      <c r="B61" s="3" t="s">
        <v>100</v>
      </c>
      <c r="C61" s="1">
        <v>4.93</v>
      </c>
      <c r="D61" t="s">
        <v>85</v>
      </c>
      <c r="G61" s="1">
        <v>1.37</v>
      </c>
      <c r="H61" s="1">
        <v>35.71</v>
      </c>
      <c r="I61" s="1">
        <v>0.87</v>
      </c>
      <c r="J61" s="2">
        <v>423</v>
      </c>
      <c r="M61" s="1">
        <v>62.57</v>
      </c>
    </row>
    <row r="62" spans="1:13" x14ac:dyDescent="0.25">
      <c r="A62" t="s">
        <v>99</v>
      </c>
      <c r="B62" s="3" t="s">
        <v>101</v>
      </c>
      <c r="C62" s="1">
        <v>4.92</v>
      </c>
      <c r="D62" t="s">
        <v>85</v>
      </c>
      <c r="G62" s="1">
        <v>1.28</v>
      </c>
      <c r="H62" s="1">
        <v>35.700000000000003</v>
      </c>
      <c r="I62" s="1">
        <v>0.91</v>
      </c>
      <c r="J62" s="2">
        <v>424</v>
      </c>
      <c r="M62" s="1">
        <v>62.6</v>
      </c>
    </row>
    <row r="63" spans="1:13" x14ac:dyDescent="0.25">
      <c r="A63" t="s">
        <v>99</v>
      </c>
      <c r="B63" s="3" t="s">
        <v>101</v>
      </c>
      <c r="C63" s="1">
        <v>4.99</v>
      </c>
      <c r="D63" t="s">
        <v>85</v>
      </c>
      <c r="G63" s="1">
        <v>1.34</v>
      </c>
      <c r="H63" s="1">
        <v>35.96</v>
      </c>
      <c r="I63" s="1">
        <v>0.96</v>
      </c>
      <c r="J63" s="2">
        <v>424</v>
      </c>
      <c r="M63" s="1">
        <v>62.6</v>
      </c>
    </row>
    <row r="64" spans="1:13" x14ac:dyDescent="0.25">
      <c r="A64" t="s">
        <v>99</v>
      </c>
      <c r="B64" s="3" t="s">
        <v>101</v>
      </c>
      <c r="C64" s="1">
        <v>5.01</v>
      </c>
      <c r="D64" t="s">
        <v>85</v>
      </c>
      <c r="G64" s="1">
        <v>0.79</v>
      </c>
      <c r="H64" s="1">
        <v>34.11</v>
      </c>
      <c r="I64" s="1">
        <v>0.92</v>
      </c>
      <c r="J64" s="2">
        <v>424</v>
      </c>
      <c r="M64" s="1">
        <v>62.6</v>
      </c>
    </row>
    <row r="65" spans="1:13" x14ac:dyDescent="0.25">
      <c r="A65" t="s">
        <v>99</v>
      </c>
      <c r="B65" s="3" t="s">
        <v>102</v>
      </c>
      <c r="C65" s="1">
        <v>4.93</v>
      </c>
      <c r="D65" t="s">
        <v>85</v>
      </c>
      <c r="G65" s="1">
        <v>1.27</v>
      </c>
      <c r="H65" s="1">
        <v>35.94</v>
      </c>
      <c r="I65" s="1">
        <v>0.84</v>
      </c>
      <c r="J65" s="2">
        <v>425</v>
      </c>
      <c r="M65" s="1">
        <v>60.59</v>
      </c>
    </row>
    <row r="66" spans="1:13" x14ac:dyDescent="0.25">
      <c r="A66" t="s">
        <v>99</v>
      </c>
      <c r="B66" s="3" t="s">
        <v>102</v>
      </c>
      <c r="C66" s="1">
        <v>4.9800000000000004</v>
      </c>
      <c r="D66" t="s">
        <v>85</v>
      </c>
      <c r="G66" s="1">
        <v>1.35</v>
      </c>
      <c r="H66" s="1">
        <v>35.82</v>
      </c>
      <c r="I66" s="1">
        <v>0.82</v>
      </c>
      <c r="J66" s="2">
        <v>424</v>
      </c>
      <c r="M66" s="1">
        <v>60.59</v>
      </c>
    </row>
    <row r="67" spans="1:13" x14ac:dyDescent="0.25">
      <c r="A67" t="s">
        <v>99</v>
      </c>
      <c r="B67" s="3" t="s">
        <v>102</v>
      </c>
      <c r="C67" s="1">
        <v>4.96</v>
      </c>
      <c r="D67" t="s">
        <v>85</v>
      </c>
      <c r="G67" s="1">
        <v>1.42</v>
      </c>
      <c r="H67" s="1">
        <v>35.71</v>
      </c>
      <c r="I67" s="1">
        <v>0.8</v>
      </c>
      <c r="J67" s="2">
        <v>424</v>
      </c>
      <c r="M67" s="1">
        <v>60.59</v>
      </c>
    </row>
    <row r="68" spans="1:13" x14ac:dyDescent="0.25">
      <c r="A68" t="s">
        <v>99</v>
      </c>
      <c r="B68" s="3" t="s">
        <v>100</v>
      </c>
      <c r="D68" t="s">
        <v>88</v>
      </c>
      <c r="F68" s="1">
        <v>5.43</v>
      </c>
      <c r="G68" s="1">
        <v>1.2</v>
      </c>
      <c r="H68" s="1">
        <v>30.82</v>
      </c>
      <c r="I68" s="1">
        <v>0.66</v>
      </c>
      <c r="J68" s="2">
        <v>427</v>
      </c>
    </row>
    <row r="69" spans="1:13" x14ac:dyDescent="0.25">
      <c r="A69" t="s">
        <v>99</v>
      </c>
      <c r="B69" s="3" t="s">
        <v>100</v>
      </c>
      <c r="D69" t="s">
        <v>88</v>
      </c>
      <c r="F69" s="1">
        <v>5.33</v>
      </c>
      <c r="G69" s="1">
        <v>1.46</v>
      </c>
      <c r="H69" s="1">
        <v>30.94</v>
      </c>
      <c r="I69" s="1">
        <v>0.67</v>
      </c>
      <c r="J69" s="2">
        <v>422</v>
      </c>
    </row>
    <row r="70" spans="1:13" x14ac:dyDescent="0.25">
      <c r="A70" t="s">
        <v>99</v>
      </c>
      <c r="B70" s="3" t="s">
        <v>100</v>
      </c>
      <c r="D70" t="s">
        <v>88</v>
      </c>
      <c r="F70" s="1">
        <v>5.13</v>
      </c>
      <c r="G70" s="1">
        <v>1.39</v>
      </c>
      <c r="H70" s="1">
        <v>31.39</v>
      </c>
      <c r="I70" s="1">
        <v>0.7</v>
      </c>
      <c r="J70" s="2">
        <v>425</v>
      </c>
    </row>
    <row r="71" spans="1:13" x14ac:dyDescent="0.25">
      <c r="A71" t="s">
        <v>99</v>
      </c>
      <c r="B71" s="3" t="s">
        <v>101</v>
      </c>
      <c r="D71" t="s">
        <v>88</v>
      </c>
      <c r="F71" s="1">
        <v>5.51</v>
      </c>
      <c r="G71" s="1">
        <v>1.54</v>
      </c>
      <c r="H71" s="1">
        <v>31.84</v>
      </c>
      <c r="I71" s="1">
        <v>0.7</v>
      </c>
      <c r="J71" s="2">
        <v>425</v>
      </c>
    </row>
    <row r="72" spans="1:13" x14ac:dyDescent="0.25">
      <c r="A72" t="s">
        <v>99</v>
      </c>
      <c r="B72" s="3" t="s">
        <v>101</v>
      </c>
      <c r="D72" t="s">
        <v>88</v>
      </c>
      <c r="F72" s="1">
        <v>5.19</v>
      </c>
      <c r="G72" s="1">
        <v>1.44</v>
      </c>
      <c r="H72" s="1">
        <v>31.23</v>
      </c>
      <c r="I72" s="1">
        <v>0.74</v>
      </c>
      <c r="J72" s="2">
        <v>424</v>
      </c>
    </row>
    <row r="73" spans="1:13" x14ac:dyDescent="0.25">
      <c r="A73" t="s">
        <v>99</v>
      </c>
      <c r="B73" s="3" t="s">
        <v>101</v>
      </c>
      <c r="D73" t="s">
        <v>88</v>
      </c>
      <c r="F73" s="1">
        <v>5.58</v>
      </c>
      <c r="G73" s="1">
        <v>1.38</v>
      </c>
      <c r="H73" s="1">
        <v>31.34</v>
      </c>
      <c r="I73" s="1">
        <v>0.68</v>
      </c>
      <c r="J73" s="2">
        <v>425</v>
      </c>
    </row>
    <row r="74" spans="1:13" x14ac:dyDescent="0.25">
      <c r="A74" t="s">
        <v>99</v>
      </c>
      <c r="B74" s="3" t="s">
        <v>102</v>
      </c>
      <c r="D74" t="s">
        <v>88</v>
      </c>
      <c r="F74" s="1">
        <v>5.48</v>
      </c>
      <c r="G74" s="1">
        <v>1.48</v>
      </c>
      <c r="H74" s="1">
        <v>31.42</v>
      </c>
      <c r="I74" s="1">
        <v>0.73</v>
      </c>
      <c r="J74" s="2">
        <v>425</v>
      </c>
    </row>
    <row r="75" spans="1:13" x14ac:dyDescent="0.25">
      <c r="A75" t="s">
        <v>99</v>
      </c>
      <c r="B75" s="3" t="s">
        <v>102</v>
      </c>
      <c r="D75" t="s">
        <v>88</v>
      </c>
      <c r="F75" s="1">
        <v>5.29</v>
      </c>
      <c r="G75" s="1">
        <v>1.44</v>
      </c>
      <c r="H75" s="1">
        <v>31.35</v>
      </c>
      <c r="I75" s="1">
        <v>0.74</v>
      </c>
      <c r="J75" s="2">
        <v>425</v>
      </c>
    </row>
    <row r="76" spans="1:13" x14ac:dyDescent="0.25">
      <c r="A76" t="s">
        <v>99</v>
      </c>
      <c r="B76" s="3" t="s">
        <v>102</v>
      </c>
      <c r="D76" t="s">
        <v>88</v>
      </c>
      <c r="F76" s="1">
        <v>6.02</v>
      </c>
      <c r="G76" s="1">
        <v>1.25</v>
      </c>
      <c r="H76" s="1">
        <v>29.52</v>
      </c>
      <c r="I76" s="1">
        <v>0.87</v>
      </c>
      <c r="J76" s="2">
        <v>423</v>
      </c>
    </row>
    <row r="77" spans="1:13" x14ac:dyDescent="0.25">
      <c r="A77" t="s">
        <v>99</v>
      </c>
      <c r="B77" s="3" t="s">
        <v>100</v>
      </c>
      <c r="D77" t="s">
        <v>103</v>
      </c>
      <c r="F77" s="1">
        <v>5.48</v>
      </c>
      <c r="G77" s="1">
        <v>1.38</v>
      </c>
      <c r="H77" s="1">
        <v>33.24</v>
      </c>
      <c r="I77" s="1">
        <v>0.64</v>
      </c>
      <c r="J77" s="2">
        <v>424</v>
      </c>
    </row>
    <row r="78" spans="1:13" x14ac:dyDescent="0.25">
      <c r="A78" t="s">
        <v>99</v>
      </c>
      <c r="B78" s="3" t="s">
        <v>100</v>
      </c>
      <c r="D78" t="s">
        <v>103</v>
      </c>
      <c r="F78" s="1">
        <v>5.5</v>
      </c>
      <c r="G78" s="1">
        <v>1.39</v>
      </c>
      <c r="H78" s="1">
        <v>33.32</v>
      </c>
      <c r="I78" s="1">
        <v>0.63</v>
      </c>
      <c r="J78" s="2">
        <v>422</v>
      </c>
    </row>
    <row r="79" spans="1:13" x14ac:dyDescent="0.25">
      <c r="A79" t="s">
        <v>99</v>
      </c>
      <c r="B79" s="3" t="s">
        <v>100</v>
      </c>
      <c r="D79" t="s">
        <v>103</v>
      </c>
      <c r="F79" s="1">
        <v>5.34</v>
      </c>
      <c r="G79" s="1">
        <v>1.44</v>
      </c>
      <c r="H79" s="1">
        <v>33.54</v>
      </c>
      <c r="I79" s="1">
        <v>0.71</v>
      </c>
      <c r="J79" s="2">
        <v>422</v>
      </c>
    </row>
    <row r="80" spans="1:13" x14ac:dyDescent="0.25">
      <c r="A80" t="s">
        <v>99</v>
      </c>
      <c r="B80" s="3" t="s">
        <v>101</v>
      </c>
      <c r="D80" t="s">
        <v>103</v>
      </c>
      <c r="F80" s="1">
        <v>5.38</v>
      </c>
      <c r="G80" s="1">
        <v>1.44</v>
      </c>
      <c r="H80" s="1">
        <v>33.57</v>
      </c>
      <c r="I80" s="1">
        <v>0.7</v>
      </c>
      <c r="J80" s="2">
        <v>422</v>
      </c>
    </row>
    <row r="81" spans="1:10" x14ac:dyDescent="0.25">
      <c r="A81" t="s">
        <v>99</v>
      </c>
      <c r="B81" s="3" t="s">
        <v>101</v>
      </c>
      <c r="D81" t="s">
        <v>103</v>
      </c>
      <c r="F81" s="1">
        <v>5.4</v>
      </c>
      <c r="G81" s="1">
        <v>1.4</v>
      </c>
      <c r="H81" s="1">
        <v>33.56</v>
      </c>
      <c r="I81" s="1">
        <v>0.98</v>
      </c>
      <c r="J81" s="2">
        <v>422</v>
      </c>
    </row>
    <row r="82" spans="1:10" x14ac:dyDescent="0.25">
      <c r="A82" t="s">
        <v>99</v>
      </c>
      <c r="B82" s="3" t="s">
        <v>101</v>
      </c>
      <c r="D82" t="s">
        <v>103</v>
      </c>
      <c r="F82" s="1">
        <v>5.44</v>
      </c>
      <c r="G82" s="1">
        <v>1.42</v>
      </c>
      <c r="H82" s="1">
        <v>33.39</v>
      </c>
      <c r="I82" s="1">
        <v>0.64</v>
      </c>
      <c r="J82" s="2">
        <v>424</v>
      </c>
    </row>
    <row r="83" spans="1:10" x14ac:dyDescent="0.25">
      <c r="A83" t="s">
        <v>99</v>
      </c>
      <c r="B83" s="3" t="s">
        <v>102</v>
      </c>
      <c r="D83" t="s">
        <v>103</v>
      </c>
      <c r="F83" s="1">
        <v>5.33</v>
      </c>
      <c r="G83" s="1">
        <v>1.45</v>
      </c>
      <c r="H83" s="1">
        <v>33.47</v>
      </c>
      <c r="I83" s="1">
        <v>0.87</v>
      </c>
      <c r="J83" s="2">
        <v>422</v>
      </c>
    </row>
    <row r="84" spans="1:10" x14ac:dyDescent="0.25">
      <c r="A84" t="s">
        <v>99</v>
      </c>
      <c r="B84" s="3" t="s">
        <v>102</v>
      </c>
      <c r="D84" t="s">
        <v>103</v>
      </c>
      <c r="F84" s="1">
        <v>5.36</v>
      </c>
      <c r="G84" s="1">
        <v>1.48</v>
      </c>
      <c r="H84" s="1">
        <v>33.590000000000003</v>
      </c>
      <c r="I84" s="1">
        <v>0.63</v>
      </c>
      <c r="J84" s="2">
        <v>423</v>
      </c>
    </row>
    <row r="85" spans="1:10" x14ac:dyDescent="0.25">
      <c r="A85" t="s">
        <v>99</v>
      </c>
      <c r="B85" s="3" t="s">
        <v>102</v>
      </c>
      <c r="D85" t="s">
        <v>103</v>
      </c>
      <c r="F85" s="1">
        <v>5.24</v>
      </c>
      <c r="G85" s="1">
        <v>1.42</v>
      </c>
      <c r="H85" s="1">
        <v>33.520000000000003</v>
      </c>
      <c r="I85" s="1">
        <v>0.9</v>
      </c>
      <c r="J85" s="2">
        <v>422</v>
      </c>
    </row>
    <row r="86" spans="1:10" x14ac:dyDescent="0.25">
      <c r="A86" t="s">
        <v>104</v>
      </c>
      <c r="B86" s="3" t="s">
        <v>105</v>
      </c>
      <c r="C86" s="1">
        <v>5.04</v>
      </c>
      <c r="D86" t="s">
        <v>103</v>
      </c>
      <c r="E86" s="2">
        <v>68.8</v>
      </c>
      <c r="G86" s="1">
        <v>1.37</v>
      </c>
      <c r="H86" s="1">
        <v>29.43</v>
      </c>
      <c r="I86" s="1">
        <v>0.65</v>
      </c>
      <c r="J86" s="2">
        <v>423</v>
      </c>
    </row>
    <row r="87" spans="1:10" x14ac:dyDescent="0.25">
      <c r="A87" t="s">
        <v>104</v>
      </c>
      <c r="B87" s="3" t="s">
        <v>105</v>
      </c>
      <c r="C87" s="1">
        <v>5.05</v>
      </c>
      <c r="D87" t="s">
        <v>103</v>
      </c>
      <c r="E87" s="2">
        <v>70</v>
      </c>
      <c r="G87" s="1">
        <v>1.4</v>
      </c>
      <c r="H87" s="1">
        <v>29.82</v>
      </c>
      <c r="I87" s="1">
        <v>0.66</v>
      </c>
      <c r="J87" s="2">
        <v>423</v>
      </c>
    </row>
    <row r="88" spans="1:10" x14ac:dyDescent="0.25">
      <c r="A88" t="s">
        <v>104</v>
      </c>
      <c r="B88" s="3" t="s">
        <v>105</v>
      </c>
      <c r="C88" s="1">
        <v>5.0599999999999996</v>
      </c>
      <c r="D88" t="s">
        <v>103</v>
      </c>
      <c r="E88" s="2">
        <v>68.7</v>
      </c>
      <c r="G88" s="1">
        <v>1.34</v>
      </c>
      <c r="H88" s="1">
        <v>29.4</v>
      </c>
      <c r="I88" s="1">
        <v>0.64</v>
      </c>
      <c r="J88" s="2">
        <v>424</v>
      </c>
    </row>
    <row r="89" spans="1:10" x14ac:dyDescent="0.25">
      <c r="A89" t="s">
        <v>104</v>
      </c>
      <c r="B89" s="3" t="s">
        <v>106</v>
      </c>
      <c r="C89" s="1">
        <v>4.9000000000000004</v>
      </c>
      <c r="D89" t="s">
        <v>103</v>
      </c>
      <c r="E89" s="2">
        <v>70.8</v>
      </c>
      <c r="G89" s="1">
        <v>1.25</v>
      </c>
      <c r="H89" s="1">
        <v>29.7</v>
      </c>
      <c r="I89" s="1">
        <v>0.61</v>
      </c>
      <c r="J89" s="2">
        <v>426</v>
      </c>
    </row>
    <row r="90" spans="1:10" x14ac:dyDescent="0.25">
      <c r="A90" t="s">
        <v>104</v>
      </c>
      <c r="B90" s="3" t="s">
        <v>106</v>
      </c>
      <c r="C90" s="1">
        <v>5.0199999999999996</v>
      </c>
      <c r="D90" t="s">
        <v>103</v>
      </c>
      <c r="E90" s="2">
        <v>68.8</v>
      </c>
      <c r="G90" s="1">
        <v>1.06</v>
      </c>
      <c r="H90" s="1">
        <v>28.89</v>
      </c>
      <c r="I90" s="1">
        <v>0.61</v>
      </c>
      <c r="J90" s="2">
        <v>429</v>
      </c>
    </row>
    <row r="91" spans="1:10" x14ac:dyDescent="0.25">
      <c r="A91" t="s">
        <v>104</v>
      </c>
      <c r="B91" s="3" t="s">
        <v>106</v>
      </c>
      <c r="C91" s="1">
        <v>5.03</v>
      </c>
      <c r="D91" t="s">
        <v>103</v>
      </c>
      <c r="E91" s="2">
        <v>69.400000000000006</v>
      </c>
      <c r="G91" s="1">
        <v>1.25</v>
      </c>
      <c r="H91" s="1">
        <v>29.1</v>
      </c>
      <c r="I91" s="1">
        <v>0.63</v>
      </c>
      <c r="J91" s="2">
        <v>424</v>
      </c>
    </row>
    <row r="92" spans="1:10" x14ac:dyDescent="0.25">
      <c r="A92" t="s">
        <v>104</v>
      </c>
      <c r="B92" s="3" t="s">
        <v>107</v>
      </c>
      <c r="C92" s="1">
        <v>4.92</v>
      </c>
      <c r="D92" t="s">
        <v>103</v>
      </c>
      <c r="E92" s="2">
        <v>69.900000000000006</v>
      </c>
      <c r="G92" s="1">
        <v>1.17</v>
      </c>
      <c r="H92" s="1">
        <v>28.49</v>
      </c>
      <c r="I92" s="1">
        <v>0.57999999999999996</v>
      </c>
      <c r="J92" s="2">
        <v>424</v>
      </c>
    </row>
    <row r="93" spans="1:10" x14ac:dyDescent="0.25">
      <c r="A93" t="s">
        <v>104</v>
      </c>
      <c r="B93" s="3" t="s">
        <v>107</v>
      </c>
      <c r="C93" s="1">
        <v>5.09</v>
      </c>
      <c r="D93" t="s">
        <v>103</v>
      </c>
      <c r="E93" s="2">
        <v>70.8</v>
      </c>
      <c r="G93" s="1">
        <v>1.28</v>
      </c>
      <c r="H93" s="1">
        <v>29.02</v>
      </c>
      <c r="I93" s="1">
        <v>0.65</v>
      </c>
      <c r="J93" s="2">
        <v>424</v>
      </c>
    </row>
    <row r="94" spans="1:10" x14ac:dyDescent="0.25">
      <c r="A94" t="s">
        <v>104</v>
      </c>
      <c r="B94" s="3" t="s">
        <v>107</v>
      </c>
      <c r="C94" s="1">
        <v>4.87</v>
      </c>
      <c r="D94" t="s">
        <v>103</v>
      </c>
      <c r="E94" s="2">
        <v>69.7</v>
      </c>
      <c r="G94" s="1">
        <v>1.3</v>
      </c>
      <c r="H94" s="1">
        <v>29.35</v>
      </c>
      <c r="I94" s="1">
        <v>0.66</v>
      </c>
      <c r="J94" s="2">
        <v>423</v>
      </c>
    </row>
    <row r="95" spans="1:10" x14ac:dyDescent="0.25">
      <c r="A95" t="s">
        <v>104</v>
      </c>
      <c r="B95" s="3" t="s">
        <v>108</v>
      </c>
      <c r="C95" s="1">
        <v>5.08</v>
      </c>
      <c r="D95" t="s">
        <v>103</v>
      </c>
      <c r="E95" s="2">
        <v>71.2</v>
      </c>
      <c r="G95" s="1">
        <v>1.29</v>
      </c>
      <c r="H95" s="1">
        <v>28.91</v>
      </c>
      <c r="I95" s="1">
        <v>0.57999999999999996</v>
      </c>
      <c r="J95" s="2">
        <v>424</v>
      </c>
    </row>
    <row r="96" spans="1:10" x14ac:dyDescent="0.25">
      <c r="A96" t="s">
        <v>104</v>
      </c>
      <c r="B96" s="3" t="s">
        <v>108</v>
      </c>
      <c r="C96" s="1">
        <v>4.84</v>
      </c>
      <c r="D96" t="s">
        <v>103</v>
      </c>
      <c r="E96" s="2">
        <v>71</v>
      </c>
      <c r="G96" s="1">
        <v>1.22</v>
      </c>
      <c r="H96" s="1">
        <v>29.22</v>
      </c>
      <c r="I96" s="1">
        <v>0.46</v>
      </c>
      <c r="J96" s="2">
        <v>427</v>
      </c>
    </row>
    <row r="97" spans="1:12" x14ac:dyDescent="0.25">
      <c r="A97" t="s">
        <v>104</v>
      </c>
      <c r="B97" s="3" t="s">
        <v>108</v>
      </c>
      <c r="C97" s="1">
        <v>5.08</v>
      </c>
      <c r="D97" t="s">
        <v>103</v>
      </c>
      <c r="E97" s="2">
        <v>67.599999999999994</v>
      </c>
      <c r="G97" s="1">
        <v>1.31</v>
      </c>
      <c r="H97" s="1">
        <v>29.46</v>
      </c>
      <c r="I97" s="1">
        <v>0.52</v>
      </c>
      <c r="J97" s="2">
        <v>424</v>
      </c>
    </row>
    <row r="98" spans="1:12" x14ac:dyDescent="0.25">
      <c r="A98" t="s">
        <v>109</v>
      </c>
      <c r="B98" s="3" t="s">
        <v>110</v>
      </c>
      <c r="C98" s="1">
        <v>5.0659999999999998</v>
      </c>
      <c r="D98" t="s">
        <v>103</v>
      </c>
      <c r="F98" s="1">
        <v>4.91</v>
      </c>
      <c r="G98" s="1">
        <v>1.1000000000000001</v>
      </c>
      <c r="H98" s="1">
        <v>37.200000000000003</v>
      </c>
      <c r="I98" s="1">
        <v>0.63</v>
      </c>
      <c r="J98" s="2">
        <v>425</v>
      </c>
      <c r="K98" s="1">
        <v>12.06</v>
      </c>
      <c r="L98" s="1">
        <v>6.9940000000000007</v>
      </c>
    </row>
    <row r="99" spans="1:12" x14ac:dyDescent="0.25">
      <c r="A99" t="s">
        <v>109</v>
      </c>
      <c r="B99" s="3" t="s">
        <v>110</v>
      </c>
      <c r="C99" s="1">
        <v>5.141</v>
      </c>
      <c r="D99" t="s">
        <v>103</v>
      </c>
      <c r="F99" s="1">
        <v>5.0999999999999996</v>
      </c>
      <c r="G99" s="1">
        <v>1.1299999999999999</v>
      </c>
      <c r="H99" s="1">
        <v>39.14</v>
      </c>
      <c r="I99" s="1">
        <v>0.53</v>
      </c>
      <c r="J99" s="2">
        <v>428</v>
      </c>
      <c r="K99" s="1">
        <v>11.95</v>
      </c>
      <c r="L99" s="1">
        <v>6.8089999999999993</v>
      </c>
    </row>
    <row r="100" spans="1:12" x14ac:dyDescent="0.25">
      <c r="A100" t="s">
        <v>109</v>
      </c>
      <c r="B100" s="3" t="s">
        <v>110</v>
      </c>
      <c r="C100" s="1">
        <v>5.1669999999999998</v>
      </c>
      <c r="D100" t="s">
        <v>103</v>
      </c>
      <c r="F100" s="1">
        <v>4.87</v>
      </c>
      <c r="G100" s="1">
        <v>1.07</v>
      </c>
      <c r="H100" s="1">
        <v>35.9</v>
      </c>
      <c r="I100" s="1">
        <v>0.54</v>
      </c>
      <c r="J100" s="2">
        <v>429</v>
      </c>
    </row>
    <row r="101" spans="1:12" x14ac:dyDescent="0.25">
      <c r="A101" t="s">
        <v>109</v>
      </c>
      <c r="B101" s="3" t="s">
        <v>111</v>
      </c>
      <c r="C101" s="1">
        <v>5.0350000000000001</v>
      </c>
      <c r="D101" t="s">
        <v>103</v>
      </c>
      <c r="F101" s="1">
        <v>4.9000000000000004</v>
      </c>
      <c r="G101" s="1">
        <v>1.1599999999999999</v>
      </c>
      <c r="H101" s="1">
        <v>37.380000000000003</v>
      </c>
      <c r="I101" s="1">
        <v>0.5</v>
      </c>
      <c r="J101" s="2">
        <v>426</v>
      </c>
      <c r="K101" s="1">
        <v>12.1</v>
      </c>
      <c r="L101" s="1">
        <v>7.0649999999999995</v>
      </c>
    </row>
    <row r="102" spans="1:12" x14ac:dyDescent="0.25">
      <c r="A102" t="s">
        <v>109</v>
      </c>
      <c r="B102" s="3" t="s">
        <v>111</v>
      </c>
      <c r="C102" s="1">
        <v>5.0170000000000003</v>
      </c>
      <c r="D102" t="s">
        <v>103</v>
      </c>
      <c r="F102" s="1">
        <v>4.93</v>
      </c>
      <c r="G102" s="1">
        <v>1</v>
      </c>
      <c r="H102" s="1">
        <v>35.17</v>
      </c>
      <c r="I102" s="1">
        <v>0.59</v>
      </c>
      <c r="J102" s="2">
        <v>424</v>
      </c>
      <c r="K102" s="1">
        <v>12.18</v>
      </c>
      <c r="L102" s="1">
        <v>7.1629999999999994</v>
      </c>
    </row>
    <row r="103" spans="1:12" x14ac:dyDescent="0.25">
      <c r="A103" t="s">
        <v>109</v>
      </c>
      <c r="B103" s="3" t="s">
        <v>111</v>
      </c>
      <c r="C103" s="1">
        <v>5.016</v>
      </c>
      <c r="D103" t="s">
        <v>103</v>
      </c>
      <c r="F103" s="1">
        <v>4.92</v>
      </c>
      <c r="G103" s="1">
        <v>1.07</v>
      </c>
      <c r="H103" s="1">
        <v>36.39</v>
      </c>
      <c r="I103" s="1">
        <v>0.6</v>
      </c>
      <c r="J103" s="2">
        <v>427</v>
      </c>
    </row>
    <row r="104" spans="1:12" x14ac:dyDescent="0.25">
      <c r="A104" t="s">
        <v>109</v>
      </c>
      <c r="B104" s="3" t="s">
        <v>112</v>
      </c>
      <c r="C104" s="1">
        <v>5.2919999999999998</v>
      </c>
      <c r="D104" t="s">
        <v>103</v>
      </c>
      <c r="F104" s="1">
        <v>4.83</v>
      </c>
      <c r="G104" s="1">
        <v>1.05</v>
      </c>
      <c r="H104" s="1">
        <v>34.979999999999997</v>
      </c>
      <c r="I104" s="1">
        <v>0.64</v>
      </c>
      <c r="J104" s="2">
        <v>425</v>
      </c>
      <c r="K104" s="1">
        <v>12.1</v>
      </c>
      <c r="L104" s="1">
        <v>6.8079999999999998</v>
      </c>
    </row>
    <row r="105" spans="1:12" x14ac:dyDescent="0.25">
      <c r="A105" t="s">
        <v>109</v>
      </c>
      <c r="B105" s="3" t="s">
        <v>112</v>
      </c>
      <c r="C105" s="1">
        <v>5.3369999999999997</v>
      </c>
      <c r="D105" t="s">
        <v>103</v>
      </c>
      <c r="F105" s="1">
        <v>4.99</v>
      </c>
      <c r="G105" s="1">
        <v>1.1000000000000001</v>
      </c>
      <c r="H105" s="1">
        <v>37.51</v>
      </c>
      <c r="I105" s="1">
        <v>0.64</v>
      </c>
      <c r="J105" s="2">
        <v>421</v>
      </c>
      <c r="K105" s="1">
        <v>12.12</v>
      </c>
      <c r="L105" s="1">
        <v>6.7829999999999995</v>
      </c>
    </row>
    <row r="106" spans="1:12" x14ac:dyDescent="0.25">
      <c r="A106" t="s">
        <v>109</v>
      </c>
      <c r="B106" s="3" t="s">
        <v>112</v>
      </c>
      <c r="C106" s="1">
        <v>5.2839999999999998</v>
      </c>
      <c r="D106" t="s">
        <v>103</v>
      </c>
      <c r="F106" s="1">
        <v>5.07</v>
      </c>
      <c r="G106" s="1">
        <v>1.1000000000000001</v>
      </c>
      <c r="H106" s="1">
        <v>37.61</v>
      </c>
      <c r="I106" s="1">
        <v>0.57999999999999996</v>
      </c>
      <c r="J106" s="2">
        <v>425</v>
      </c>
    </row>
    <row r="107" spans="1:12" x14ac:dyDescent="0.25">
      <c r="A107" t="s">
        <v>109</v>
      </c>
      <c r="B107" s="3" t="s">
        <v>113</v>
      </c>
      <c r="C107" s="1">
        <v>5.1520000000000001</v>
      </c>
      <c r="D107" t="s">
        <v>103</v>
      </c>
      <c r="F107" s="1">
        <v>5.04</v>
      </c>
      <c r="G107" s="1">
        <v>1.21</v>
      </c>
      <c r="H107" s="1">
        <v>37.97</v>
      </c>
      <c r="I107" s="1">
        <v>0.7</v>
      </c>
      <c r="J107" s="2">
        <v>429</v>
      </c>
      <c r="K107" s="1">
        <v>12.04</v>
      </c>
      <c r="L107" s="1">
        <v>6.887999999999999</v>
      </c>
    </row>
    <row r="108" spans="1:12" x14ac:dyDescent="0.25">
      <c r="A108" t="s">
        <v>109</v>
      </c>
      <c r="B108" s="3" t="s">
        <v>113</v>
      </c>
      <c r="C108" s="1">
        <v>5.1680000000000001</v>
      </c>
      <c r="D108" t="s">
        <v>103</v>
      </c>
      <c r="F108" s="1">
        <v>4.97</v>
      </c>
      <c r="G108" s="1">
        <v>1.19</v>
      </c>
      <c r="H108" s="1">
        <v>36.270000000000003</v>
      </c>
      <c r="I108" s="1">
        <v>0.71</v>
      </c>
      <c r="J108" s="2">
        <v>423</v>
      </c>
      <c r="K108" s="1">
        <v>12.13</v>
      </c>
      <c r="L108" s="1">
        <v>6.9620000000000006</v>
      </c>
    </row>
    <row r="109" spans="1:12" x14ac:dyDescent="0.25">
      <c r="A109" t="s">
        <v>109</v>
      </c>
      <c r="B109" s="3" t="s">
        <v>113</v>
      </c>
      <c r="D109" t="s">
        <v>103</v>
      </c>
      <c r="F109" s="1">
        <v>5.33</v>
      </c>
      <c r="G109" s="1">
        <v>1.1100000000000001</v>
      </c>
      <c r="H109" s="1">
        <v>38.04</v>
      </c>
      <c r="I109" s="1">
        <v>0.77</v>
      </c>
      <c r="J109" s="2">
        <v>429</v>
      </c>
    </row>
    <row r="110" spans="1:12" x14ac:dyDescent="0.25">
      <c r="A110" t="s">
        <v>109</v>
      </c>
      <c r="B110" s="3" t="s">
        <v>114</v>
      </c>
      <c r="C110" s="1">
        <v>5.1509999999999998</v>
      </c>
      <c r="D110" t="s">
        <v>103</v>
      </c>
      <c r="F110" s="1">
        <v>5.21</v>
      </c>
      <c r="G110" s="1">
        <v>1.29</v>
      </c>
      <c r="H110" s="1">
        <v>39.799999999999997</v>
      </c>
      <c r="I110" s="1">
        <v>0.59</v>
      </c>
      <c r="J110" s="2">
        <v>424</v>
      </c>
      <c r="K110" s="1">
        <v>12.05</v>
      </c>
      <c r="L110" s="1">
        <v>6.8990000000000009</v>
      </c>
    </row>
    <row r="111" spans="1:12" x14ac:dyDescent="0.25">
      <c r="A111" t="s">
        <v>109</v>
      </c>
      <c r="B111" s="3" t="s">
        <v>114</v>
      </c>
      <c r="C111" s="1">
        <v>5.1230000000000002</v>
      </c>
      <c r="D111" t="s">
        <v>103</v>
      </c>
      <c r="F111" s="1">
        <v>5.04</v>
      </c>
      <c r="G111" s="1">
        <v>1.27</v>
      </c>
      <c r="H111" s="1">
        <v>38.770000000000003</v>
      </c>
      <c r="I111" s="1">
        <v>0.71</v>
      </c>
      <c r="J111" s="2">
        <v>424</v>
      </c>
      <c r="K111" s="1">
        <v>11.99</v>
      </c>
      <c r="L111" s="1">
        <v>6.867</v>
      </c>
    </row>
    <row r="112" spans="1:12" x14ac:dyDescent="0.25">
      <c r="A112" t="s">
        <v>109</v>
      </c>
      <c r="B112" s="3" t="s">
        <v>114</v>
      </c>
      <c r="D112" t="s">
        <v>103</v>
      </c>
      <c r="F112" s="1">
        <v>5.15</v>
      </c>
      <c r="G112" s="1">
        <v>1.28</v>
      </c>
      <c r="H112" s="1">
        <v>39.39</v>
      </c>
      <c r="I112" s="1">
        <v>0.69</v>
      </c>
      <c r="J112" s="2">
        <v>424</v>
      </c>
    </row>
    <row r="113" spans="1:12" x14ac:dyDescent="0.25">
      <c r="A113" t="s">
        <v>109</v>
      </c>
      <c r="B113" s="3" t="s">
        <v>115</v>
      </c>
      <c r="C113" s="1">
        <v>5.226</v>
      </c>
      <c r="D113" t="s">
        <v>103</v>
      </c>
      <c r="F113" s="1">
        <v>4.7300000000000004</v>
      </c>
      <c r="G113" s="1">
        <v>1.17</v>
      </c>
      <c r="H113" s="1">
        <v>34.869999999999997</v>
      </c>
      <c r="I113" s="1">
        <v>0.66</v>
      </c>
      <c r="J113" s="2">
        <v>423</v>
      </c>
      <c r="K113" s="1">
        <v>12.13</v>
      </c>
      <c r="L113" s="1">
        <v>6.9040000000000008</v>
      </c>
    </row>
    <row r="114" spans="1:12" x14ac:dyDescent="0.25">
      <c r="A114" t="s">
        <v>109</v>
      </c>
      <c r="B114" s="3" t="s">
        <v>115</v>
      </c>
      <c r="C114" s="1">
        <v>5.1950000000000003</v>
      </c>
      <c r="D114" t="s">
        <v>103</v>
      </c>
      <c r="F114" s="1">
        <v>4.88</v>
      </c>
      <c r="G114" s="1">
        <v>1.1299999999999999</v>
      </c>
      <c r="H114" s="1">
        <v>35.909999999999997</v>
      </c>
      <c r="I114" s="1">
        <v>0.75</v>
      </c>
      <c r="J114" s="2">
        <v>424</v>
      </c>
      <c r="K114" s="1">
        <v>12.19</v>
      </c>
      <c r="L114" s="1">
        <v>6.9949999999999992</v>
      </c>
    </row>
    <row r="115" spans="1:12" x14ac:dyDescent="0.25">
      <c r="A115" t="s">
        <v>109</v>
      </c>
      <c r="B115" s="3" t="s">
        <v>115</v>
      </c>
      <c r="D115" t="s">
        <v>103</v>
      </c>
      <c r="F115" s="1">
        <v>4.9000000000000004</v>
      </c>
      <c r="G115" s="1">
        <v>1.18</v>
      </c>
      <c r="H115" s="1">
        <v>35.83</v>
      </c>
      <c r="I115" s="1">
        <v>0.66</v>
      </c>
      <c r="J115" s="2">
        <v>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CE59-3784-4592-8F55-A1434850D432}">
  <dimension ref="A1:O34"/>
  <sheetViews>
    <sheetView workbookViewId="0">
      <selection activeCell="B7" sqref="B7"/>
    </sheetView>
  </sheetViews>
  <sheetFormatPr defaultRowHeight="15" x14ac:dyDescent="0.25"/>
  <cols>
    <col min="1" max="1" width="7.7109375" bestFit="1" customWidth="1"/>
    <col min="2" max="2" width="9.140625" bestFit="1" customWidth="1"/>
    <col min="3" max="3" width="6.85546875" bestFit="1" customWidth="1"/>
    <col min="4" max="4" width="6.5703125" bestFit="1" customWidth="1"/>
    <col min="5" max="5" width="5.42578125" bestFit="1" customWidth="1"/>
    <col min="6" max="6" width="7" bestFit="1" customWidth="1"/>
    <col min="7" max="7" width="9.28515625" bestFit="1" customWidth="1"/>
    <col min="8" max="8" width="8" bestFit="1" customWidth="1"/>
    <col min="9" max="9" width="9" bestFit="1" customWidth="1"/>
    <col min="10" max="10" width="10.140625" bestFit="1" customWidth="1"/>
    <col min="11" max="11" width="7.5703125" bestFit="1" customWidth="1"/>
    <col min="12" max="12" width="6.28515625" bestFit="1" customWidth="1"/>
    <col min="13" max="13" width="8.140625" bestFit="1" customWidth="1"/>
    <col min="14" max="14" width="9.5703125" bestFit="1" customWidth="1"/>
    <col min="15" max="15" width="7.5703125" bestFit="1" customWidth="1"/>
  </cols>
  <sheetData>
    <row r="1" spans="1:15" x14ac:dyDescent="0.25">
      <c r="A1" s="5" t="s">
        <v>146</v>
      </c>
      <c r="B1" s="6" t="s">
        <v>147</v>
      </c>
      <c r="C1" s="5" t="s">
        <v>149</v>
      </c>
      <c r="D1" s="5" t="s">
        <v>150</v>
      </c>
      <c r="E1" s="5" t="s">
        <v>151</v>
      </c>
      <c r="F1" s="5" t="s">
        <v>116</v>
      </c>
      <c r="G1" s="5" t="s">
        <v>152</v>
      </c>
      <c r="H1" s="5" t="s">
        <v>153</v>
      </c>
      <c r="I1" s="5" t="s">
        <v>154</v>
      </c>
      <c r="J1" s="5" t="s">
        <v>155</v>
      </c>
      <c r="K1" s="5" t="s">
        <v>156</v>
      </c>
      <c r="L1" s="5" t="s">
        <v>157</v>
      </c>
      <c r="M1" s="5" t="s">
        <v>158</v>
      </c>
      <c r="N1" s="5" t="s">
        <v>159</v>
      </c>
      <c r="O1" s="5" t="s">
        <v>160</v>
      </c>
    </row>
    <row r="2" spans="1:15" x14ac:dyDescent="0.25">
      <c r="A2" s="5" t="s">
        <v>83</v>
      </c>
      <c r="B2" s="7" t="s">
        <v>117</v>
      </c>
      <c r="C2" s="5">
        <v>20.100000000000001</v>
      </c>
      <c r="D2" s="5" t="s">
        <v>118</v>
      </c>
      <c r="E2" s="5" t="s">
        <v>118</v>
      </c>
      <c r="F2" s="5">
        <v>63.3</v>
      </c>
      <c r="G2" s="5">
        <v>0.4</v>
      </c>
      <c r="H2" s="5" t="s">
        <v>118</v>
      </c>
      <c r="I2" s="5">
        <v>9.5</v>
      </c>
      <c r="J2" s="5">
        <v>1.1000000000000001</v>
      </c>
      <c r="K2" s="5">
        <v>1.5</v>
      </c>
      <c r="L2" s="5">
        <v>0.9</v>
      </c>
      <c r="M2" s="5">
        <v>3.2</v>
      </c>
      <c r="N2" s="5"/>
      <c r="O2" s="5"/>
    </row>
    <row r="3" spans="1:15" x14ac:dyDescent="0.25">
      <c r="A3" s="5" t="s">
        <v>83</v>
      </c>
      <c r="B3" s="7" t="s">
        <v>119</v>
      </c>
      <c r="C3" s="5">
        <v>22.2</v>
      </c>
      <c r="D3" s="5">
        <v>0.2</v>
      </c>
      <c r="E3" s="5" t="s">
        <v>118</v>
      </c>
      <c r="F3" s="5">
        <v>63.4</v>
      </c>
      <c r="G3" s="5">
        <v>0.5</v>
      </c>
      <c r="H3" s="5" t="s">
        <v>118</v>
      </c>
      <c r="I3" s="5">
        <v>7.9</v>
      </c>
      <c r="J3" s="5">
        <v>1.1000000000000001</v>
      </c>
      <c r="K3" s="5">
        <v>1.5</v>
      </c>
      <c r="L3" s="5">
        <v>0.8</v>
      </c>
      <c r="M3" s="5">
        <v>2.4</v>
      </c>
      <c r="N3" s="5"/>
      <c r="O3" s="5"/>
    </row>
    <row r="4" spans="1:15" x14ac:dyDescent="0.25">
      <c r="A4" s="5" t="s">
        <v>83</v>
      </c>
      <c r="B4" s="7" t="s">
        <v>120</v>
      </c>
      <c r="C4" s="5">
        <v>21.2</v>
      </c>
      <c r="D4" s="5">
        <v>0.2</v>
      </c>
      <c r="E4" s="5" t="s">
        <v>118</v>
      </c>
      <c r="F4" s="5">
        <v>61.7</v>
      </c>
      <c r="G4" s="5">
        <v>0.5</v>
      </c>
      <c r="H4" s="5" t="s">
        <v>118</v>
      </c>
      <c r="I4" s="5">
        <v>10.199999999999999</v>
      </c>
      <c r="J4" s="5">
        <v>0.7</v>
      </c>
      <c r="K4" s="5">
        <v>1.3</v>
      </c>
      <c r="L4" s="5">
        <v>1</v>
      </c>
      <c r="M4" s="5">
        <v>3.2</v>
      </c>
      <c r="N4" s="5"/>
      <c r="O4" s="5"/>
    </row>
    <row r="5" spans="1:15" x14ac:dyDescent="0.25">
      <c r="A5" s="5" t="s">
        <v>90</v>
      </c>
      <c r="B5" s="7" t="s">
        <v>121</v>
      </c>
      <c r="C5" s="5">
        <v>23.2</v>
      </c>
      <c r="D5" s="5" t="s">
        <v>118</v>
      </c>
      <c r="E5" s="5" t="s">
        <v>118</v>
      </c>
      <c r="F5" s="5">
        <v>63.1</v>
      </c>
      <c r="G5" s="5">
        <v>2.7</v>
      </c>
      <c r="H5" s="5"/>
      <c r="I5" s="5">
        <v>7.3</v>
      </c>
      <c r="J5" s="5" t="s">
        <v>118</v>
      </c>
      <c r="K5" s="5" t="s">
        <v>118</v>
      </c>
      <c r="L5" s="5">
        <v>1.4</v>
      </c>
      <c r="M5" s="5">
        <v>2.8</v>
      </c>
      <c r="N5" s="5" t="s">
        <v>118</v>
      </c>
      <c r="O5" s="5">
        <v>0.5</v>
      </c>
    </row>
    <row r="6" spans="1:15" x14ac:dyDescent="0.25">
      <c r="A6" s="5" t="s">
        <v>90</v>
      </c>
      <c r="B6" s="7" t="s">
        <v>122</v>
      </c>
      <c r="C6" s="5">
        <v>22.9</v>
      </c>
      <c r="D6" s="5" t="s">
        <v>118</v>
      </c>
      <c r="E6" s="5" t="s">
        <v>118</v>
      </c>
      <c r="F6" s="5">
        <v>55.4</v>
      </c>
      <c r="G6" s="5">
        <v>2.7</v>
      </c>
      <c r="H6" s="5"/>
      <c r="I6" s="5">
        <v>12.9</v>
      </c>
      <c r="J6" s="5" t="s">
        <v>118</v>
      </c>
      <c r="K6" s="5" t="s">
        <v>118</v>
      </c>
      <c r="L6" s="5">
        <v>2.2999999999999998</v>
      </c>
      <c r="M6" s="5">
        <v>3.8</v>
      </c>
      <c r="N6" s="5" t="s">
        <v>118</v>
      </c>
      <c r="O6" s="5" t="s">
        <v>118</v>
      </c>
    </row>
    <row r="7" spans="1:15" x14ac:dyDescent="0.25">
      <c r="A7" s="5" t="s">
        <v>123</v>
      </c>
      <c r="B7" s="7">
        <v>18</v>
      </c>
      <c r="C7" s="5">
        <v>22.9</v>
      </c>
      <c r="D7" s="5" t="s">
        <v>118</v>
      </c>
      <c r="E7" s="5" t="s">
        <v>118</v>
      </c>
      <c r="F7" s="5">
        <v>65.8</v>
      </c>
      <c r="G7" s="5">
        <v>1.1000000000000001</v>
      </c>
      <c r="H7" s="5"/>
      <c r="I7" s="5">
        <v>6.3</v>
      </c>
      <c r="J7" s="5">
        <v>1.8</v>
      </c>
      <c r="K7" s="5"/>
      <c r="L7" s="5">
        <v>0.9</v>
      </c>
      <c r="M7" s="5">
        <v>1.2</v>
      </c>
      <c r="N7" s="5"/>
      <c r="O7" s="5"/>
    </row>
    <row r="8" spans="1:15" x14ac:dyDescent="0.25">
      <c r="A8" s="5" t="s">
        <v>123</v>
      </c>
      <c r="B8" s="7">
        <v>18</v>
      </c>
      <c r="C8" s="5">
        <v>22.2</v>
      </c>
      <c r="D8" s="5" t="s">
        <v>118</v>
      </c>
      <c r="E8" s="5" t="s">
        <v>118</v>
      </c>
      <c r="F8" s="5">
        <v>64.2</v>
      </c>
      <c r="G8" s="5">
        <v>2.4</v>
      </c>
      <c r="H8" s="5"/>
      <c r="I8" s="5">
        <v>6.1</v>
      </c>
      <c r="J8" s="5">
        <v>2.6</v>
      </c>
      <c r="K8" s="5"/>
      <c r="L8" s="5">
        <v>1.1000000000000001</v>
      </c>
      <c r="M8" s="5">
        <v>1.4</v>
      </c>
      <c r="N8" s="5"/>
      <c r="O8" s="5"/>
    </row>
    <row r="9" spans="1:15" x14ac:dyDescent="0.25">
      <c r="A9" s="5" t="s">
        <v>123</v>
      </c>
      <c r="B9" s="7">
        <v>18</v>
      </c>
      <c r="C9" s="5">
        <v>24.1</v>
      </c>
      <c r="D9" s="5" t="s">
        <v>118</v>
      </c>
      <c r="E9" s="5" t="s">
        <v>118</v>
      </c>
      <c r="F9" s="5">
        <v>65.900000000000006</v>
      </c>
      <c r="G9" s="5">
        <v>1.2</v>
      </c>
      <c r="H9" s="5"/>
      <c r="I9" s="5">
        <v>5.3</v>
      </c>
      <c r="J9" s="5">
        <v>1.4</v>
      </c>
      <c r="K9" s="5"/>
      <c r="L9" s="5">
        <v>0.9</v>
      </c>
      <c r="M9" s="5">
        <v>1.2</v>
      </c>
      <c r="N9" s="5"/>
      <c r="O9" s="5"/>
    </row>
    <row r="10" spans="1:15" x14ac:dyDescent="0.25">
      <c r="A10" s="5" t="s">
        <v>123</v>
      </c>
      <c r="B10" s="7">
        <v>4</v>
      </c>
      <c r="C10" s="5">
        <v>22.3</v>
      </c>
      <c r="D10" s="5" t="s">
        <v>118</v>
      </c>
      <c r="E10" s="5" t="s">
        <v>118</v>
      </c>
      <c r="F10" s="5">
        <v>66.5</v>
      </c>
      <c r="G10" s="5">
        <v>1.2</v>
      </c>
      <c r="H10" s="5"/>
      <c r="I10" s="5">
        <v>6.6</v>
      </c>
      <c r="J10" s="5">
        <v>1.3</v>
      </c>
      <c r="K10" s="5"/>
      <c r="L10" s="5">
        <v>0.9</v>
      </c>
      <c r="M10" s="5">
        <v>1.2</v>
      </c>
      <c r="N10" s="5"/>
      <c r="O10" s="5"/>
    </row>
    <row r="11" spans="1:15" x14ac:dyDescent="0.25">
      <c r="A11" s="5" t="s">
        <v>123</v>
      </c>
      <c r="B11" s="7">
        <v>4</v>
      </c>
      <c r="C11" s="5">
        <v>22.1</v>
      </c>
      <c r="D11" s="5" t="s">
        <v>118</v>
      </c>
      <c r="E11" s="5" t="s">
        <v>118</v>
      </c>
      <c r="F11" s="5">
        <v>65.5</v>
      </c>
      <c r="G11" s="5">
        <v>0.9</v>
      </c>
      <c r="H11" s="5"/>
      <c r="I11" s="5">
        <v>6.4</v>
      </c>
      <c r="J11" s="5">
        <v>1.8</v>
      </c>
      <c r="K11" s="5"/>
      <c r="L11" s="5">
        <v>0.9</v>
      </c>
      <c r="M11" s="5">
        <v>2.4</v>
      </c>
      <c r="N11" s="5"/>
      <c r="O11" s="5"/>
    </row>
    <row r="12" spans="1:15" x14ac:dyDescent="0.25">
      <c r="A12" s="5" t="s">
        <v>123</v>
      </c>
      <c r="B12" s="7">
        <v>4</v>
      </c>
      <c r="C12" s="5">
        <v>22.2</v>
      </c>
      <c r="D12" s="5" t="s">
        <v>118</v>
      </c>
      <c r="E12" s="5" t="s">
        <v>118</v>
      </c>
      <c r="F12" s="5">
        <v>66.599999999999994</v>
      </c>
      <c r="G12" s="5">
        <v>1.4</v>
      </c>
      <c r="H12" s="5"/>
      <c r="I12" s="5">
        <v>4.9000000000000004</v>
      </c>
      <c r="J12" s="5">
        <v>3.1</v>
      </c>
      <c r="K12" s="5"/>
      <c r="L12" s="5">
        <v>1</v>
      </c>
      <c r="M12" s="5">
        <v>0.8</v>
      </c>
      <c r="N12" s="5"/>
      <c r="O12" s="5"/>
    </row>
    <row r="13" spans="1:15" x14ac:dyDescent="0.25">
      <c r="A13" s="5" t="s">
        <v>123</v>
      </c>
      <c r="B13" s="7" t="s">
        <v>124</v>
      </c>
      <c r="C13" s="5">
        <v>23.9</v>
      </c>
      <c r="D13" s="5" t="s">
        <v>118</v>
      </c>
      <c r="E13" s="5" t="s">
        <v>118</v>
      </c>
      <c r="F13" s="5">
        <v>64.8</v>
      </c>
      <c r="G13" s="5">
        <v>1.1000000000000001</v>
      </c>
      <c r="H13" s="5"/>
      <c r="I13" s="5">
        <v>5</v>
      </c>
      <c r="J13" s="5">
        <v>1.9</v>
      </c>
      <c r="K13" s="5"/>
      <c r="L13" s="5">
        <v>1.1000000000000001</v>
      </c>
      <c r="M13" s="5">
        <v>2.2000000000000002</v>
      </c>
      <c r="N13" s="5"/>
      <c r="O13" s="5"/>
    </row>
    <row r="14" spans="1:15" x14ac:dyDescent="0.25">
      <c r="A14" s="5" t="s">
        <v>123</v>
      </c>
      <c r="B14" s="7" t="s">
        <v>124</v>
      </c>
      <c r="C14" s="5">
        <v>23.8</v>
      </c>
      <c r="D14" s="5" t="s">
        <v>118</v>
      </c>
      <c r="E14" s="5" t="s">
        <v>118</v>
      </c>
      <c r="F14" s="5">
        <v>64.7</v>
      </c>
      <c r="G14" s="5">
        <v>0.9</v>
      </c>
      <c r="H14" s="5"/>
      <c r="I14" s="5">
        <v>5.5</v>
      </c>
      <c r="J14" s="5">
        <v>2.2999999999999998</v>
      </c>
      <c r="K14" s="5"/>
      <c r="L14" s="5">
        <v>0.9</v>
      </c>
      <c r="M14" s="5">
        <v>1.9</v>
      </c>
      <c r="N14" s="5"/>
      <c r="O14" s="5"/>
    </row>
    <row r="15" spans="1:15" x14ac:dyDescent="0.25">
      <c r="A15" s="5" t="s">
        <v>123</v>
      </c>
      <c r="B15" s="7" t="s">
        <v>124</v>
      </c>
      <c r="C15" s="5">
        <v>24</v>
      </c>
      <c r="D15" s="5" t="s">
        <v>118</v>
      </c>
      <c r="E15" s="5" t="s">
        <v>118</v>
      </c>
      <c r="F15" s="5">
        <v>64.5</v>
      </c>
      <c r="G15" s="5">
        <v>1.4</v>
      </c>
      <c r="H15" s="5"/>
      <c r="I15" s="5">
        <v>5.8</v>
      </c>
      <c r="J15" s="5">
        <v>1.7</v>
      </c>
      <c r="K15" s="5"/>
      <c r="L15" s="5">
        <v>0.9</v>
      </c>
      <c r="M15" s="5">
        <v>1.7</v>
      </c>
      <c r="N15" s="5"/>
      <c r="O15" s="5"/>
    </row>
    <row r="16" spans="1:15" x14ac:dyDescent="0.25">
      <c r="A16" s="5" t="s">
        <v>123</v>
      </c>
      <c r="B16" s="7" t="s">
        <v>125</v>
      </c>
      <c r="C16" s="5">
        <v>24.7</v>
      </c>
      <c r="D16" s="5" t="s">
        <v>118</v>
      </c>
      <c r="E16" s="5" t="s">
        <v>118</v>
      </c>
      <c r="F16" s="5">
        <v>65.099999999999994</v>
      </c>
      <c r="G16" s="5">
        <v>0.6</v>
      </c>
      <c r="H16" s="5"/>
      <c r="I16" s="5">
        <v>5</v>
      </c>
      <c r="J16" s="5">
        <v>1.9</v>
      </c>
      <c r="K16" s="5"/>
      <c r="L16" s="5">
        <v>0.8</v>
      </c>
      <c r="M16" s="5">
        <v>1.9</v>
      </c>
      <c r="N16" s="5"/>
      <c r="O16" s="5"/>
    </row>
    <row r="17" spans="1:15" x14ac:dyDescent="0.25">
      <c r="A17" s="5" t="s">
        <v>123</v>
      </c>
      <c r="B17" s="7" t="s">
        <v>125</v>
      </c>
      <c r="C17" s="5">
        <v>23.9</v>
      </c>
      <c r="D17" s="5" t="s">
        <v>118</v>
      </c>
      <c r="E17" s="5" t="s">
        <v>118</v>
      </c>
      <c r="F17" s="5">
        <v>66.2</v>
      </c>
      <c r="G17" s="5">
        <v>1</v>
      </c>
      <c r="H17" s="5"/>
      <c r="I17" s="5">
        <v>5.0999999999999996</v>
      </c>
      <c r="J17" s="5">
        <v>1.9</v>
      </c>
      <c r="K17" s="5"/>
      <c r="L17" s="5">
        <v>0.7</v>
      </c>
      <c r="M17" s="5">
        <v>1.2</v>
      </c>
      <c r="N17" s="5"/>
      <c r="O17" s="5"/>
    </row>
    <row r="18" spans="1:15" x14ac:dyDescent="0.25">
      <c r="A18" s="5" t="s">
        <v>123</v>
      </c>
      <c r="B18" s="7" t="s">
        <v>125</v>
      </c>
      <c r="C18" s="5">
        <v>24.1</v>
      </c>
      <c r="D18" s="5" t="s">
        <v>118</v>
      </c>
      <c r="E18" s="5" t="s">
        <v>118</v>
      </c>
      <c r="F18" s="5">
        <v>65.099999999999994</v>
      </c>
      <c r="G18" s="5">
        <v>1.1000000000000001</v>
      </c>
      <c r="H18" s="5"/>
      <c r="I18" s="5">
        <v>5.6</v>
      </c>
      <c r="J18" s="5">
        <v>1.8</v>
      </c>
      <c r="K18" s="5"/>
      <c r="L18" s="5">
        <v>0.8</v>
      </c>
      <c r="M18" s="5">
        <v>1.5</v>
      </c>
      <c r="N18" s="5"/>
      <c r="O18" s="5"/>
    </row>
    <row r="19" spans="1:15" x14ac:dyDescent="0.25">
      <c r="A19" s="5" t="s">
        <v>104</v>
      </c>
      <c r="B19" s="7" t="s">
        <v>108</v>
      </c>
      <c r="C19" s="8">
        <v>23.057324840764331</v>
      </c>
      <c r="D19" s="9"/>
      <c r="E19" s="5" t="s">
        <v>118</v>
      </c>
      <c r="F19" s="8">
        <v>62.547770700636939</v>
      </c>
      <c r="G19" s="10">
        <v>0.50955414012738853</v>
      </c>
      <c r="H19" s="10"/>
      <c r="I19" s="9">
        <v>7.1337579617834388</v>
      </c>
      <c r="J19" s="9">
        <v>1.910828025477707</v>
      </c>
      <c r="K19" s="8"/>
      <c r="L19" s="8">
        <v>0.63694267515923564</v>
      </c>
      <c r="M19" s="8">
        <v>4.2038216560509554</v>
      </c>
      <c r="N19" s="5" t="s">
        <v>118</v>
      </c>
      <c r="O19" s="5"/>
    </row>
    <row r="20" spans="1:15" x14ac:dyDescent="0.25">
      <c r="A20" s="5" t="s">
        <v>104</v>
      </c>
      <c r="B20" s="7" t="s">
        <v>126</v>
      </c>
      <c r="C20" s="8">
        <v>22.418136020151135</v>
      </c>
      <c r="D20" s="8"/>
      <c r="E20" s="5" t="s">
        <v>118</v>
      </c>
      <c r="F20" s="8">
        <v>59.823677581863976</v>
      </c>
      <c r="G20" s="8">
        <v>4.0302267002518892</v>
      </c>
      <c r="H20" s="8"/>
      <c r="I20" s="8">
        <v>8.0604534005037785</v>
      </c>
      <c r="J20" s="8">
        <v>1.8891687657430729</v>
      </c>
      <c r="K20" s="8"/>
      <c r="L20" s="8">
        <v>0.75566750629722912</v>
      </c>
      <c r="M20" s="8">
        <v>3.0226700251889165</v>
      </c>
      <c r="N20" s="8">
        <v>0.12594458438287154</v>
      </c>
      <c r="O20" s="5"/>
    </row>
    <row r="21" spans="1:15" x14ac:dyDescent="0.25">
      <c r="A21" s="5" t="s">
        <v>104</v>
      </c>
      <c r="B21" s="7" t="s">
        <v>126</v>
      </c>
      <c r="C21" s="8">
        <v>23.566878980891719</v>
      </c>
      <c r="D21" s="8"/>
      <c r="E21" s="5" t="s">
        <v>118</v>
      </c>
      <c r="F21" s="8">
        <v>62.292993630573243</v>
      </c>
      <c r="G21" s="8">
        <v>0.50955414012738853</v>
      </c>
      <c r="H21" s="8"/>
      <c r="I21" s="8">
        <v>7.6433121019108281</v>
      </c>
      <c r="J21" s="8">
        <v>1.7834394904458597</v>
      </c>
      <c r="K21" s="8"/>
      <c r="L21" s="8">
        <v>0.76433121019108274</v>
      </c>
      <c r="M21" s="8">
        <v>3.6942675159235665</v>
      </c>
      <c r="N21" s="5" t="s">
        <v>118</v>
      </c>
      <c r="O21" s="5"/>
    </row>
    <row r="22" spans="1:15" x14ac:dyDescent="0.25">
      <c r="A22" s="5" t="s">
        <v>127</v>
      </c>
      <c r="B22" s="7" t="s">
        <v>128</v>
      </c>
      <c r="C22" s="8">
        <v>27.12</v>
      </c>
      <c r="D22" s="8"/>
      <c r="E22" s="8"/>
      <c r="F22" s="8">
        <v>61.26</v>
      </c>
      <c r="G22" s="8">
        <v>0.79</v>
      </c>
      <c r="H22" s="8"/>
      <c r="I22" s="8">
        <v>7.27</v>
      </c>
      <c r="J22" s="8"/>
      <c r="K22" s="8"/>
      <c r="L22" s="8">
        <v>0.54</v>
      </c>
      <c r="M22" s="8">
        <v>3.02</v>
      </c>
      <c r="N22" s="5"/>
      <c r="O22" s="5"/>
    </row>
    <row r="23" spans="1:15" x14ac:dyDescent="0.25">
      <c r="A23" s="5" t="s">
        <v>127</v>
      </c>
      <c r="B23" s="7" t="s">
        <v>129</v>
      </c>
      <c r="C23" s="8">
        <v>27.3</v>
      </c>
      <c r="D23" s="8"/>
      <c r="E23" s="8"/>
      <c r="F23" s="8">
        <v>62.09</v>
      </c>
      <c r="G23" s="8">
        <v>0.46</v>
      </c>
      <c r="H23" s="8"/>
      <c r="I23" s="8">
        <v>6.23</v>
      </c>
      <c r="J23" s="8"/>
      <c r="K23" s="8"/>
      <c r="L23" s="8">
        <v>0.57999999999999996</v>
      </c>
      <c r="M23" s="8">
        <v>3.34</v>
      </c>
      <c r="N23" s="5"/>
      <c r="O23" s="5"/>
    </row>
    <row r="24" spans="1:15" x14ac:dyDescent="0.25">
      <c r="A24" s="5" t="s">
        <v>127</v>
      </c>
      <c r="B24" s="7" t="s">
        <v>130</v>
      </c>
      <c r="C24" s="8">
        <v>26.92</v>
      </c>
      <c r="D24" s="8"/>
      <c r="E24" s="8"/>
      <c r="F24" s="8">
        <v>61.55</v>
      </c>
      <c r="G24" s="8">
        <v>0.63</v>
      </c>
      <c r="H24" s="8"/>
      <c r="I24" s="8">
        <v>6.91</v>
      </c>
      <c r="J24" s="8"/>
      <c r="K24" s="8"/>
      <c r="L24" s="8">
        <v>0.69</v>
      </c>
      <c r="M24" s="8">
        <v>3.3</v>
      </c>
      <c r="N24" s="5"/>
      <c r="O24" s="5"/>
    </row>
    <row r="25" spans="1:15" x14ac:dyDescent="0.25">
      <c r="A25" s="5" t="s">
        <v>109</v>
      </c>
      <c r="B25" s="7" t="s">
        <v>110</v>
      </c>
      <c r="C25" s="5">
        <v>20.5</v>
      </c>
      <c r="D25" s="5"/>
      <c r="E25" s="5"/>
      <c r="F25" s="5">
        <v>67.7</v>
      </c>
      <c r="G25" s="5">
        <v>0.6</v>
      </c>
      <c r="H25" s="5">
        <v>0.8</v>
      </c>
      <c r="I25" s="5"/>
      <c r="J25" s="5"/>
      <c r="K25" s="5"/>
      <c r="L25" s="5">
        <v>4.0999999999999996</v>
      </c>
      <c r="M25" s="5"/>
      <c r="N25" s="5"/>
      <c r="O25" s="5"/>
    </row>
    <row r="26" spans="1:15" x14ac:dyDescent="0.25">
      <c r="A26" s="5" t="s">
        <v>109</v>
      </c>
      <c r="B26" s="7" t="s">
        <v>111</v>
      </c>
      <c r="C26" s="5">
        <v>20.399999999999999</v>
      </c>
      <c r="D26" s="5"/>
      <c r="E26" s="5"/>
      <c r="F26" s="5">
        <v>67.599999999999994</v>
      </c>
      <c r="G26" s="5">
        <v>0.9</v>
      </c>
      <c r="H26" s="5">
        <v>0.6</v>
      </c>
      <c r="I26" s="5"/>
      <c r="J26" s="5"/>
      <c r="K26" s="5"/>
      <c r="L26" s="5">
        <v>3.5</v>
      </c>
      <c r="M26" s="5"/>
      <c r="N26" s="5"/>
      <c r="O26" s="5"/>
    </row>
    <row r="27" spans="1:15" x14ac:dyDescent="0.25">
      <c r="A27" s="5" t="s">
        <v>109</v>
      </c>
      <c r="B27" s="7" t="s">
        <v>112</v>
      </c>
      <c r="C27" s="5">
        <v>20.5</v>
      </c>
      <c r="D27" s="5"/>
      <c r="E27" s="5"/>
      <c r="F27" s="5">
        <v>68.5</v>
      </c>
      <c r="G27" s="5">
        <v>0.7</v>
      </c>
      <c r="H27" s="5">
        <v>0.6</v>
      </c>
      <c r="I27" s="5"/>
      <c r="J27" s="5"/>
      <c r="K27" s="5"/>
      <c r="L27" s="5">
        <v>3.3</v>
      </c>
      <c r="M27" s="5"/>
      <c r="N27" s="5"/>
      <c r="O27" s="5"/>
    </row>
    <row r="28" spans="1:15" x14ac:dyDescent="0.25">
      <c r="A28" s="5" t="s">
        <v>109</v>
      </c>
      <c r="B28" s="7" t="s">
        <v>113</v>
      </c>
      <c r="C28" s="5">
        <v>19.899999999999999</v>
      </c>
      <c r="D28" s="5"/>
      <c r="E28" s="5"/>
      <c r="F28" s="5">
        <v>68.400000000000006</v>
      </c>
      <c r="G28" s="5">
        <v>0.6</v>
      </c>
      <c r="H28" s="5">
        <v>0.7</v>
      </c>
      <c r="I28" s="5"/>
      <c r="J28" s="5"/>
      <c r="K28" s="5"/>
      <c r="L28" s="5">
        <v>3.1</v>
      </c>
      <c r="M28" s="5"/>
      <c r="N28" s="5"/>
      <c r="O28" s="5"/>
    </row>
    <row r="29" spans="1:15" x14ac:dyDescent="0.25">
      <c r="A29" s="5" t="s">
        <v>109</v>
      </c>
      <c r="B29" s="7" t="s">
        <v>114</v>
      </c>
      <c r="C29" s="5">
        <v>20</v>
      </c>
      <c r="D29" s="5"/>
      <c r="E29" s="5"/>
      <c r="F29" s="5">
        <v>67.900000000000006</v>
      </c>
      <c r="G29" s="5">
        <v>0.6</v>
      </c>
      <c r="H29" s="5">
        <v>1</v>
      </c>
      <c r="I29" s="5"/>
      <c r="J29" s="5"/>
      <c r="K29" s="5"/>
      <c r="L29" s="5">
        <v>3.1</v>
      </c>
      <c r="M29" s="5"/>
      <c r="N29" s="5"/>
      <c r="O29" s="5"/>
    </row>
    <row r="30" spans="1:15" x14ac:dyDescent="0.25">
      <c r="A30" s="5" t="s">
        <v>109</v>
      </c>
      <c r="B30" s="7">
        <v>452</v>
      </c>
      <c r="C30" s="5">
        <v>19.5</v>
      </c>
      <c r="D30" s="5"/>
      <c r="E30" s="5"/>
      <c r="F30" s="5">
        <v>67.2</v>
      </c>
      <c r="G30" s="5">
        <v>0.9</v>
      </c>
      <c r="H30" s="5">
        <v>0.9</v>
      </c>
      <c r="I30" s="5"/>
      <c r="J30" s="5"/>
      <c r="K30" s="5"/>
      <c r="L30" s="5">
        <v>3.5</v>
      </c>
      <c r="M30" s="5"/>
      <c r="N30" s="5"/>
      <c r="O30" s="5"/>
    </row>
    <row r="32" spans="1:15" x14ac:dyDescent="0.25">
      <c r="B32" s="7"/>
    </row>
    <row r="33" spans="2:13" x14ac:dyDescent="0.25"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2:13" x14ac:dyDescent="0.25">
      <c r="B34" s="7"/>
      <c r="C34" s="11"/>
      <c r="F34" s="11"/>
      <c r="G34" s="11"/>
      <c r="I34" s="11"/>
      <c r="J34" s="11"/>
      <c r="L34" s="11"/>
      <c r="M34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100D-D740-4E24-8E55-1AAD2099BDE8}">
  <dimension ref="A1:E18"/>
  <sheetViews>
    <sheetView workbookViewId="0"/>
  </sheetViews>
  <sheetFormatPr defaultRowHeight="15" x14ac:dyDescent="0.25"/>
  <cols>
    <col min="1" max="1" width="7.7109375" bestFit="1" customWidth="1"/>
    <col min="2" max="2" width="11.85546875" bestFit="1" customWidth="1"/>
    <col min="3" max="3" width="9.140625" bestFit="1" customWidth="1"/>
    <col min="4" max="4" width="5.140625" bestFit="1" customWidth="1"/>
    <col min="5" max="5" width="7" bestFit="1" customWidth="1"/>
  </cols>
  <sheetData>
    <row r="1" spans="1:5" x14ac:dyDescent="0.25">
      <c r="A1" t="s">
        <v>146</v>
      </c>
      <c r="B1" t="s">
        <v>131</v>
      </c>
      <c r="C1" t="s">
        <v>147</v>
      </c>
      <c r="D1" t="s">
        <v>148</v>
      </c>
      <c r="E1" t="s">
        <v>148</v>
      </c>
    </row>
    <row r="2" spans="1:5" x14ac:dyDescent="0.25">
      <c r="A2" t="s">
        <v>104</v>
      </c>
      <c r="B2" t="s">
        <v>132</v>
      </c>
      <c r="C2">
        <v>357</v>
      </c>
      <c r="D2">
        <v>8519</v>
      </c>
      <c r="E2">
        <f>D2/1000000*100</f>
        <v>0.8519000000000001</v>
      </c>
    </row>
    <row r="3" spans="1:5" x14ac:dyDescent="0.25">
      <c r="A3" t="s">
        <v>104</v>
      </c>
      <c r="B3" t="s">
        <v>133</v>
      </c>
      <c r="C3">
        <v>357</v>
      </c>
      <c r="D3">
        <v>9022</v>
      </c>
      <c r="E3">
        <f t="shared" ref="E3:E15" si="0">D3/1000000*100</f>
        <v>0.9022</v>
      </c>
    </row>
    <row r="4" spans="1:5" x14ac:dyDescent="0.25">
      <c r="A4" t="s">
        <v>104</v>
      </c>
      <c r="B4" t="s">
        <v>134</v>
      </c>
      <c r="C4">
        <v>354</v>
      </c>
      <c r="D4">
        <v>9133</v>
      </c>
      <c r="E4">
        <f t="shared" si="0"/>
        <v>0.9133</v>
      </c>
    </row>
    <row r="5" spans="1:5" x14ac:dyDescent="0.25">
      <c r="A5" t="s">
        <v>104</v>
      </c>
      <c r="B5" t="s">
        <v>135</v>
      </c>
      <c r="C5">
        <v>354</v>
      </c>
      <c r="D5">
        <v>8903</v>
      </c>
      <c r="E5">
        <f t="shared" si="0"/>
        <v>0.89029999999999998</v>
      </c>
    </row>
    <row r="6" spans="1:5" x14ac:dyDescent="0.25">
      <c r="A6" t="s">
        <v>104</v>
      </c>
      <c r="B6" t="s">
        <v>136</v>
      </c>
      <c r="C6">
        <v>343</v>
      </c>
      <c r="D6">
        <v>8965</v>
      </c>
      <c r="E6">
        <f t="shared" si="0"/>
        <v>0.89650000000000007</v>
      </c>
    </row>
    <row r="7" spans="1:5" x14ac:dyDescent="0.25">
      <c r="A7" t="s">
        <v>104</v>
      </c>
      <c r="B7" t="s">
        <v>137</v>
      </c>
      <c r="C7">
        <v>343</v>
      </c>
      <c r="D7">
        <v>8661</v>
      </c>
      <c r="E7">
        <f t="shared" si="0"/>
        <v>0.86609999999999998</v>
      </c>
    </row>
    <row r="8" spans="1:5" x14ac:dyDescent="0.25">
      <c r="A8" t="s">
        <v>104</v>
      </c>
      <c r="B8" t="s">
        <v>138</v>
      </c>
      <c r="C8">
        <v>1665</v>
      </c>
      <c r="D8">
        <v>9064</v>
      </c>
      <c r="E8">
        <f t="shared" si="0"/>
        <v>0.90639999999999987</v>
      </c>
    </row>
    <row r="9" spans="1:5" x14ac:dyDescent="0.25">
      <c r="A9" t="s">
        <v>104</v>
      </c>
      <c r="B9" t="s">
        <v>139</v>
      </c>
      <c r="C9">
        <v>1665</v>
      </c>
      <c r="D9">
        <v>9132</v>
      </c>
      <c r="E9">
        <f t="shared" si="0"/>
        <v>0.9131999999999999</v>
      </c>
    </row>
    <row r="10" spans="1:5" x14ac:dyDescent="0.25">
      <c r="A10" t="s">
        <v>104</v>
      </c>
      <c r="B10" t="s">
        <v>140</v>
      </c>
      <c r="C10">
        <v>344</v>
      </c>
      <c r="D10">
        <v>8913</v>
      </c>
      <c r="E10">
        <f t="shared" si="0"/>
        <v>0.89130000000000009</v>
      </c>
    </row>
    <row r="11" spans="1:5" x14ac:dyDescent="0.25">
      <c r="A11" t="s">
        <v>104</v>
      </c>
      <c r="B11" t="s">
        <v>141</v>
      </c>
      <c r="C11">
        <v>349</v>
      </c>
      <c r="D11">
        <v>8876</v>
      </c>
      <c r="E11">
        <f t="shared" si="0"/>
        <v>0.88760000000000006</v>
      </c>
    </row>
    <row r="12" spans="1:5" x14ac:dyDescent="0.25">
      <c r="A12" t="s">
        <v>104</v>
      </c>
      <c r="B12" t="s">
        <v>142</v>
      </c>
      <c r="C12">
        <v>1855</v>
      </c>
      <c r="D12">
        <v>9147</v>
      </c>
      <c r="E12">
        <f t="shared" si="0"/>
        <v>0.91470000000000007</v>
      </c>
    </row>
    <row r="13" spans="1:5" x14ac:dyDescent="0.25">
      <c r="A13" t="s">
        <v>104</v>
      </c>
      <c r="B13" t="s">
        <v>143</v>
      </c>
      <c r="C13">
        <v>347</v>
      </c>
      <c r="D13">
        <v>8841</v>
      </c>
      <c r="E13">
        <f t="shared" si="0"/>
        <v>0.8841</v>
      </c>
    </row>
    <row r="14" spans="1:5" x14ac:dyDescent="0.25">
      <c r="A14" t="s">
        <v>104</v>
      </c>
      <c r="B14" t="s">
        <v>144</v>
      </c>
      <c r="C14">
        <v>1855</v>
      </c>
      <c r="D14">
        <v>8351</v>
      </c>
      <c r="E14">
        <f t="shared" si="0"/>
        <v>0.83510000000000006</v>
      </c>
    </row>
    <row r="15" spans="1:5" x14ac:dyDescent="0.25">
      <c r="A15" t="s">
        <v>104</v>
      </c>
      <c r="B15" t="s">
        <v>145</v>
      </c>
      <c r="C15">
        <v>1665</v>
      </c>
      <c r="D15">
        <v>8464</v>
      </c>
      <c r="E15">
        <f t="shared" si="0"/>
        <v>0.84639999999999993</v>
      </c>
    </row>
    <row r="17" spans="5:5" x14ac:dyDescent="0.25">
      <c r="E17" s="1"/>
    </row>
    <row r="18" spans="5:5" x14ac:dyDescent="0.25">
      <c r="E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Inorganic chemistry</vt:lpstr>
      <vt:lpstr>Organic geochemistry</vt:lpstr>
      <vt:lpstr>Mineralogy</vt:lpstr>
      <vt:lpstr>Extractable organic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Birdwell, Justin E.</dc:creator>
  <cp:keywords/>
  <dc:description/>
  <cp:lastModifiedBy>Gunther, Gregory</cp:lastModifiedBy>
  <cp:revision/>
  <dcterms:created xsi:type="dcterms:W3CDTF">2020-07-12T21:06:28Z</dcterms:created>
  <dcterms:modified xsi:type="dcterms:W3CDTF">2021-08-18T23:46:07Z</dcterms:modified>
  <cp:category/>
  <cp:contentStatus/>
</cp:coreProperties>
</file>